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work\Rcode\KOAS_BoxPacking_new\"/>
    </mc:Choice>
  </mc:AlternateContent>
  <bookViews>
    <workbookView xWindow="0" yWindow="0" windowWidth="28530" windowHeight="12210"/>
  </bookViews>
  <sheets>
    <sheet name="시스템초화면" sheetId="5" r:id="rId1"/>
    <sheet name="INPUT_sheet" sheetId="1" r:id="rId2"/>
    <sheet name="INPUT_Truck_Ton" sheetId="4" r:id="rId3"/>
    <sheet name="Goods_size" sheetId="2" r:id="rId4"/>
    <sheet name="Truck_spec." sheetId="3" r:id="rId5"/>
  </sheets>
  <definedNames>
    <definedName name="TonRange">INPUT_Truck_Ton!$H$4:$H$10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" i="2"/>
  <c r="A13" i="2" l="1"/>
  <c r="A14" i="2"/>
  <c r="A15" i="2"/>
  <c r="A16" i="2"/>
  <c r="A19" i="2"/>
  <c r="A20" i="2"/>
  <c r="A23" i="2"/>
  <c r="A24" i="2"/>
  <c r="A27" i="2"/>
  <c r="A28" i="2"/>
  <c r="A31" i="2"/>
  <c r="A32" i="2"/>
  <c r="A35" i="2"/>
  <c r="A36" i="2"/>
  <c r="A39" i="2"/>
  <c r="A40" i="2"/>
  <c r="A43" i="2"/>
  <c r="A44" i="2"/>
  <c r="A47" i="2"/>
  <c r="A48" i="2"/>
  <c r="A51" i="2"/>
  <c r="A52" i="2"/>
  <c r="A55" i="2"/>
  <c r="A56" i="2"/>
  <c r="A59" i="2"/>
  <c r="A60" i="2"/>
  <c r="A63" i="2"/>
  <c r="A64" i="2"/>
  <c r="A67" i="2"/>
  <c r="A68" i="2"/>
  <c r="A71" i="2"/>
  <c r="A72" i="2"/>
  <c r="A75" i="2"/>
  <c r="A76" i="2"/>
  <c r="A79" i="2"/>
  <c r="A80" i="2"/>
  <c r="A83" i="2"/>
  <c r="A84" i="2"/>
  <c r="A87" i="2"/>
  <c r="A88" i="2"/>
  <c r="A91" i="2"/>
  <c r="A92" i="2"/>
  <c r="A95" i="2"/>
  <c r="A96" i="2"/>
  <c r="A99" i="2"/>
  <c r="A100" i="2"/>
  <c r="A103" i="2"/>
  <c r="A104" i="2"/>
  <c r="A107" i="2"/>
  <c r="A108" i="2"/>
  <c r="A111" i="2"/>
  <c r="A112" i="2"/>
  <c r="A115" i="2"/>
  <c r="A116" i="2"/>
  <c r="A119" i="2"/>
  <c r="A120" i="2"/>
  <c r="A123" i="2"/>
  <c r="A124" i="2"/>
  <c r="A127" i="2"/>
  <c r="A128" i="2"/>
  <c r="A131" i="2"/>
  <c r="A132" i="2"/>
  <c r="A135" i="2"/>
  <c r="A136" i="2"/>
  <c r="A139" i="2"/>
  <c r="A140" i="2"/>
  <c r="A143" i="2"/>
  <c r="A144" i="2"/>
  <c r="A147" i="2"/>
  <c r="A148" i="2"/>
  <c r="A151" i="2"/>
  <c r="A152" i="2"/>
  <c r="A155" i="2"/>
  <c r="A156" i="2"/>
  <c r="A159" i="2"/>
  <c r="A160" i="2"/>
  <c r="A163" i="2"/>
  <c r="A164" i="2"/>
  <c r="A167" i="2"/>
  <c r="A168" i="2"/>
  <c r="A171" i="2"/>
  <c r="A172" i="2"/>
  <c r="A175" i="2"/>
  <c r="A176" i="2"/>
  <c r="A179" i="2"/>
  <c r="A180" i="2"/>
  <c r="A183" i="2"/>
  <c r="A184" i="2"/>
  <c r="A187" i="2"/>
  <c r="A188" i="2"/>
  <c r="A191" i="2"/>
  <c r="A192" i="2"/>
  <c r="A195" i="2"/>
  <c r="A196" i="2"/>
  <c r="A199" i="2"/>
  <c r="A200" i="2"/>
  <c r="A3" i="2"/>
  <c r="A4" i="2"/>
  <c r="A6" i="2"/>
  <c r="A7" i="2"/>
  <c r="A8" i="2"/>
  <c r="A9" i="2"/>
  <c r="A10" i="2"/>
  <c r="A11" i="2"/>
  <c r="A17" i="2"/>
  <c r="A18" i="2"/>
  <c r="A21" i="2"/>
  <c r="A22" i="2"/>
  <c r="A25" i="2"/>
  <c r="A26" i="2"/>
  <c r="A29" i="2"/>
  <c r="A30" i="2"/>
  <c r="A33" i="2"/>
  <c r="A34" i="2"/>
  <c r="A37" i="2"/>
  <c r="A38" i="2"/>
  <c r="A41" i="2"/>
  <c r="A42" i="2"/>
  <c r="A45" i="2"/>
  <c r="A46" i="2"/>
  <c r="A49" i="2"/>
  <c r="A50" i="2"/>
  <c r="A53" i="2"/>
  <c r="A54" i="2"/>
  <c r="A57" i="2"/>
  <c r="A58" i="2"/>
  <c r="A61" i="2"/>
  <c r="A62" i="2"/>
  <c r="A65" i="2"/>
  <c r="A66" i="2"/>
  <c r="A69" i="2"/>
  <c r="A70" i="2"/>
  <c r="A73" i="2"/>
  <c r="A74" i="2"/>
  <c r="A77" i="2"/>
  <c r="A78" i="2"/>
  <c r="A81" i="2"/>
  <c r="A82" i="2"/>
  <c r="A85" i="2"/>
  <c r="A86" i="2"/>
  <c r="A89" i="2"/>
  <c r="A90" i="2"/>
  <c r="A93" i="2"/>
  <c r="A94" i="2"/>
  <c r="A97" i="2"/>
  <c r="A98" i="2"/>
  <c r="A101" i="2"/>
  <c r="A102" i="2"/>
  <c r="A105" i="2"/>
  <c r="A106" i="2"/>
  <c r="A109" i="2"/>
  <c r="A110" i="2"/>
  <c r="A113" i="2"/>
  <c r="A114" i="2"/>
  <c r="A117" i="2"/>
  <c r="A118" i="2"/>
  <c r="A121" i="2"/>
  <c r="A122" i="2"/>
  <c r="A125" i="2"/>
  <c r="A126" i="2"/>
  <c r="A129" i="2"/>
  <c r="A130" i="2"/>
  <c r="A133" i="2"/>
  <c r="A134" i="2"/>
  <c r="A137" i="2"/>
  <c r="A138" i="2"/>
  <c r="A141" i="2"/>
  <c r="A142" i="2"/>
  <c r="A145" i="2"/>
  <c r="A146" i="2"/>
  <c r="A149" i="2"/>
  <c r="A150" i="2"/>
  <c r="A153" i="2"/>
  <c r="A154" i="2"/>
  <c r="A157" i="2"/>
  <c r="A158" i="2"/>
  <c r="A161" i="2"/>
  <c r="A162" i="2"/>
  <c r="A165" i="2"/>
  <c r="A166" i="2"/>
  <c r="A169" i="2"/>
  <c r="A170" i="2"/>
  <c r="A173" i="2"/>
  <c r="A174" i="2"/>
  <c r="A177" i="2"/>
  <c r="A178" i="2"/>
  <c r="A181" i="2"/>
  <c r="A182" i="2"/>
  <c r="A185" i="2"/>
  <c r="A186" i="2"/>
  <c r="A189" i="2"/>
  <c r="A190" i="2"/>
  <c r="A193" i="2"/>
  <c r="A194" i="2"/>
  <c r="A197" i="2"/>
  <c r="A198" i="2"/>
  <c r="A5" i="2"/>
  <c r="A12" i="2"/>
  <c r="A2" i="2" l="1"/>
</calcChain>
</file>

<file path=xl/sharedStrings.xml><?xml version="1.0" encoding="utf-8"?>
<sst xmlns="http://schemas.openxmlformats.org/spreadsheetml/2006/main" count="82" uniqueCount="58">
  <si>
    <t>정상</t>
  </si>
  <si>
    <t>Num</t>
    <phoneticPr fontId="1" type="noConversion"/>
  </si>
  <si>
    <t>1ton</t>
    <phoneticPr fontId="1" type="noConversion"/>
  </si>
  <si>
    <t>1.4ton</t>
    <phoneticPr fontId="1" type="noConversion"/>
  </si>
  <si>
    <t>2.5ton</t>
    <phoneticPr fontId="1" type="noConversion"/>
  </si>
  <si>
    <t>3.5ton</t>
    <phoneticPr fontId="1" type="noConversion"/>
  </si>
  <si>
    <t>5ton</t>
    <phoneticPr fontId="1" type="noConversion"/>
  </si>
  <si>
    <t>5.5ton</t>
    <phoneticPr fontId="1" type="noConversion"/>
  </si>
  <si>
    <t>11ton</t>
    <phoneticPr fontId="1" type="noConversion"/>
  </si>
  <si>
    <t>Model</t>
    <phoneticPr fontId="1" type="noConversion"/>
  </si>
  <si>
    <t>Delivery_Quantity</t>
    <phoneticPr fontId="1" type="noConversion"/>
  </si>
  <si>
    <t>Length</t>
    <phoneticPr fontId="1" type="noConversion"/>
  </si>
  <si>
    <t>Width</t>
    <phoneticPr fontId="1" type="noConversion"/>
  </si>
  <si>
    <t>Height</t>
    <phoneticPr fontId="1" type="noConversion"/>
  </si>
  <si>
    <t>Truck_Type</t>
    <phoneticPr fontId="1" type="noConversion"/>
  </si>
  <si>
    <t>Nominal</t>
    <phoneticPr fontId="1" type="noConversion"/>
  </si>
  <si>
    <t>톤</t>
    <phoneticPr fontId="1" type="noConversion"/>
  </si>
  <si>
    <t>q</t>
    <phoneticPr fontId="1" type="noConversion"/>
  </si>
  <si>
    <t>Order_Number</t>
    <phoneticPr fontId="1" type="noConversion"/>
  </si>
  <si>
    <t>수주번호</t>
    <phoneticPr fontId="1" type="noConversion"/>
  </si>
  <si>
    <t>구분</t>
    <phoneticPr fontId="1" type="noConversion"/>
  </si>
  <si>
    <t>납품처</t>
    <phoneticPr fontId="1" type="noConversion"/>
  </si>
  <si>
    <t>지역</t>
    <phoneticPr fontId="1" type="noConversion"/>
  </si>
  <si>
    <t>제품코드</t>
    <phoneticPr fontId="1" type="noConversion"/>
  </si>
  <si>
    <t>모델</t>
    <phoneticPr fontId="1" type="noConversion"/>
  </si>
  <si>
    <t>품명</t>
    <phoneticPr fontId="1" type="noConversion"/>
  </si>
  <si>
    <t>가로</t>
    <phoneticPr fontId="1" type="noConversion"/>
  </si>
  <si>
    <t>세로</t>
    <phoneticPr fontId="1" type="noConversion"/>
  </si>
  <si>
    <t>높이</t>
    <phoneticPr fontId="1" type="noConversion"/>
  </si>
  <si>
    <t>색상</t>
    <phoneticPr fontId="1" type="noConversion"/>
  </si>
  <si>
    <t>재질</t>
    <phoneticPr fontId="1" type="noConversion"/>
  </si>
  <si>
    <t>수주량</t>
    <phoneticPr fontId="1" type="noConversion"/>
  </si>
  <si>
    <t>코아스경북북부대리점</t>
  </si>
  <si>
    <t>경북 안동</t>
  </si>
  <si>
    <t>1CHS0185</t>
  </si>
  <si>
    <t>CHS0103KL</t>
  </si>
  <si>
    <t>모듈소파/3인용/등유</t>
  </si>
  <si>
    <t>L431P/L431P</t>
  </si>
  <si>
    <t>1CHS0319</t>
  </si>
  <si>
    <t>CHS0121KL</t>
  </si>
  <si>
    <t>모듈소파/사각스툴</t>
  </si>
  <si>
    <t>1DNX0189</t>
  </si>
  <si>
    <t>CND8511IN</t>
  </si>
  <si>
    <t>넥시스200/5단/도어</t>
  </si>
  <si>
    <t>KM175/KM175</t>
  </si>
  <si>
    <t>1DTP0008</t>
  </si>
  <si>
    <t>CTP8010EN</t>
  </si>
  <si>
    <t>외장상판</t>
  </si>
  <si>
    <t>KM175</t>
  </si>
  <si>
    <t>1CCC1127</t>
  </si>
  <si>
    <t>(비)CH3230KL</t>
  </si>
  <si>
    <t>다용도/플라스틱등,좌판</t>
  </si>
  <si>
    <t>L431P/KC150</t>
  </si>
  <si>
    <t>1CCC2336</t>
  </si>
  <si>
    <t>CHD0250KCPF</t>
  </si>
  <si>
    <t>등/팔걸이일체형사출,좌판패브릭.4발프레임</t>
  </si>
  <si>
    <t>F400P/KC156/KC156/KC180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</si>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</sst>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#;\-#,###;;@"/>
    <numFmt numFmtId="177" formatCode="0_);[Red]\(0\)"/>
  </numFmts>
  <fonts count="14">
    <font>
      <sz val="10"/>
      <color theme="1"/>
      <name val="굴림"/>
      <family val="2"/>
      <charset val="129"/>
    </font>
    <font>
      <sz val="8"/>
      <name val="굴림"/>
      <family val="2"/>
      <charset val="129"/>
    </font>
    <font>
      <sz val="11"/>
      <name val="돋움"/>
      <family val="3"/>
      <charset val="129"/>
    </font>
    <font>
      <b/>
      <sz val="10"/>
      <color theme="1"/>
      <name val="굴림"/>
      <family val="3"/>
      <charset val="129"/>
    </font>
    <font>
      <b/>
      <sz val="11"/>
      <color theme="0"/>
      <name val="돋움"/>
      <family val="3"/>
      <charset val="129"/>
    </font>
    <font>
      <b/>
      <sz val="10"/>
      <color rgb="FF3F3F3F"/>
      <name val="굴림"/>
      <family val="2"/>
      <charset val="129"/>
    </font>
    <font>
      <sz val="10"/>
      <color theme="0"/>
      <name val="굴림"/>
      <family val="2"/>
      <charset val="129"/>
    </font>
    <font>
      <b/>
      <sz val="22"/>
      <color theme="1"/>
      <name val="굴림"/>
      <family val="3"/>
      <charset val="129"/>
    </font>
    <font>
      <b/>
      <sz val="72"/>
      <color rgb="FF3F3F3F"/>
      <name val="굴림"/>
      <family val="3"/>
      <charset val="129"/>
    </font>
    <font>
      <sz val="10"/>
      <color theme="0"/>
      <name val="굴림"/>
      <family val="3"/>
      <charset val="129"/>
    </font>
    <font>
      <sz val="10"/>
      <name val="굴림"/>
      <family val="3"/>
      <charset val="129"/>
    </font>
    <font>
      <b/>
      <sz val="18"/>
      <color rgb="FF000000"/>
      <name val="HY헤드라인M"/>
      <family val="1"/>
      <charset val="129"/>
    </font>
    <font>
      <b/>
      <sz val="10"/>
      <color rgb="FF000000"/>
      <name val="HY헤드라인M"/>
      <family val="1"/>
      <charset val="129"/>
    </font>
    <font>
      <sz val="10"/>
      <color rgb="FFFF0000"/>
      <name val="굴림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5" fillId="4" borderId="2" applyNumberFormat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1" applyFill="1" applyProtection="1"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>
      <alignment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Fill="1" applyBorder="1">
      <alignment vertical="center"/>
    </xf>
    <xf numFmtId="0" fontId="8" fillId="4" borderId="2" xfId="2" applyFont="1" applyProtection="1">
      <alignment vertical="center"/>
      <protection locked="0"/>
    </xf>
    <xf numFmtId="0" fontId="9" fillId="2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10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13" fillId="2" borderId="0" xfId="0" applyFont="1" applyFill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</xf>
    <xf numFmtId="176" fontId="3" fillId="2" borderId="0" xfId="0" applyNumberFormat="1" applyFont="1" applyFill="1" applyAlignment="1" applyProtection="1">
      <alignment horizontal="center" vertical="center"/>
    </xf>
    <xf numFmtId="0" fontId="3" fillId="2" borderId="0" xfId="0" applyNumberFormat="1" applyFont="1" applyFill="1" applyAlignment="1" applyProtection="1">
      <alignment horizontal="center" vertical="center"/>
    </xf>
    <xf numFmtId="176" fontId="0" fillId="2" borderId="0" xfId="0" applyNumberFormat="1" applyFill="1" applyAlignment="1" applyProtection="1">
      <alignment horizontal="center" vertical="center"/>
    </xf>
    <xf numFmtId="176" fontId="0" fillId="2" borderId="0" xfId="0" applyNumberFormat="1" applyFill="1" applyProtection="1">
      <alignment vertical="center"/>
    </xf>
    <xf numFmtId="0" fontId="0" fillId="2" borderId="0" xfId="0" applyNumberFormat="1" applyFill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177" fontId="3" fillId="2" borderId="0" xfId="0" applyNumberFormat="1" applyFont="1" applyFill="1" applyAlignment="1" applyProtection="1">
      <alignment horizontal="center" vertical="center"/>
    </xf>
    <xf numFmtId="177" fontId="0" fillId="2" borderId="0" xfId="0" applyNumberFormat="1" applyFill="1" applyAlignment="1" applyProtection="1">
      <alignment horizontal="center" vertical="center"/>
    </xf>
    <xf numFmtId="177" fontId="2" fillId="2" borderId="0" xfId="1" applyNumberFormat="1" applyFill="1" applyProtection="1">
      <protection locked="0"/>
    </xf>
    <xf numFmtId="177" fontId="0" fillId="2" borderId="0" xfId="0" applyNumberFormat="1" applyFill="1" applyProtection="1">
      <alignment vertical="center"/>
      <protection locked="0"/>
    </xf>
    <xf numFmtId="177" fontId="4" fillId="3" borderId="0" xfId="1" applyNumberFormat="1" applyFont="1" applyFill="1" applyAlignment="1" applyProtection="1">
      <alignment horizontal="center"/>
    </xf>
    <xf numFmtId="0" fontId="4" fillId="3" borderId="0" xfId="1" applyFont="1" applyFill="1" applyAlignment="1" applyProtection="1">
      <alignment horizontal="center"/>
    </xf>
  </cellXfs>
  <cellStyles count="3">
    <cellStyle name="출력" xfId="2" builtinId="21"/>
    <cellStyle name="표준" xfId="0" builtinId="0"/>
    <cellStyle name="표준 2" xfId="1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545165</xdr:colOff>
      <xdr:row>1</xdr:row>
      <xdr:rowOff>149599</xdr:rowOff>
    </xdr:from>
    <xdr:to>
      <xdr:col>22</xdr:col>
      <xdr:colOff>81242</xdr:colOff>
      <xdr:row>49</xdr:row>
      <xdr:rowOff>89647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9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165" y="306481"/>
          <a:ext cx="12848665" cy="7470401"/>
        </a:xfrm>
        <a:prstGeom prst="rect">
          <a:avLst/>
        </a:prstGeom>
      </xdr:spPr>
    </xdr:pic>
    <xdr:clientData/>
  </xdr:twoCellAnchor>
  <xdr:twoCellAnchor>
    <xdr:from>
      <xdr:col>5</xdr:col>
      <xdr:colOff>593912</xdr:colOff>
      <xdr:row>3</xdr:row>
      <xdr:rowOff>112058</xdr:rowOff>
    </xdr:from>
    <xdr:to>
      <xdr:col>16</xdr:col>
      <xdr:colOff>549089</xdr:colOff>
      <xdr:row>8</xdr:row>
      <xdr:rowOff>112058</xdr:rowOff>
    </xdr:to>
    <xdr:sp macro="" textlink="">
      <xdr:nvSpPr>
        <xdr:cNvPr id="3" name="빗면 2"/>
        <xdr:cNvSpPr/>
      </xdr:nvSpPr>
      <xdr:spPr>
        <a:xfrm>
          <a:off x="3619500" y="582705"/>
          <a:ext cx="6611471" cy="784412"/>
        </a:xfrm>
        <a:prstGeom prst="bevel">
          <a:avLst>
            <a:gd name="adj" fmla="val 4953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차량적재 자동 시뮬레이션 시스템</a:t>
          </a:r>
        </a:p>
      </xdr:txBody>
    </xdr:sp>
    <xdr:clientData/>
  </xdr:twoCellAnchor>
  <xdr:twoCellAnchor editAs="oneCell">
    <xdr:from>
      <xdr:col>2</xdr:col>
      <xdr:colOff>268941</xdr:colOff>
      <xdr:row>3</xdr:row>
      <xdr:rowOff>145676</xdr:rowOff>
    </xdr:from>
    <xdr:to>
      <xdr:col>4</xdr:col>
      <xdr:colOff>138490</xdr:colOff>
      <xdr:row>8</xdr:row>
      <xdr:rowOff>79293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176" y="616323"/>
          <a:ext cx="1079785" cy="718029"/>
        </a:xfrm>
        <a:prstGeom prst="rect">
          <a:avLst/>
        </a:prstGeom>
      </xdr:spPr>
    </xdr:pic>
    <xdr:clientData/>
  </xdr:twoCellAnchor>
  <xdr:twoCellAnchor editAs="oneCell">
    <xdr:from>
      <xdr:col>1</xdr:col>
      <xdr:colOff>537882</xdr:colOff>
      <xdr:row>11</xdr:row>
      <xdr:rowOff>0</xdr:rowOff>
    </xdr:from>
    <xdr:to>
      <xdr:col>11</xdr:col>
      <xdr:colOff>78441</xdr:colOff>
      <xdr:row>27</xdr:row>
      <xdr:rowOff>100852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3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143000" y="1725706"/>
          <a:ext cx="5591735" cy="2610970"/>
        </a:xfrm>
        <a:prstGeom prst="rect">
          <a:avLst/>
        </a:prstGeom>
      </xdr:spPr>
    </xdr:pic>
    <xdr:clientData/>
  </xdr:twoCellAnchor>
  <xdr:twoCellAnchor>
    <xdr:from>
      <xdr:col>2</xdr:col>
      <xdr:colOff>65555</xdr:colOff>
      <xdr:row>11</xdr:row>
      <xdr:rowOff>124947</xdr:rowOff>
    </xdr:from>
    <xdr:to>
      <xdr:col>10</xdr:col>
      <xdr:colOff>515471</xdr:colOff>
      <xdr:row>13</xdr:row>
      <xdr:rowOff>112060</xdr:rowOff>
    </xdr:to>
    <xdr:sp macro="" textlink="">
      <xdr:nvSpPr>
        <xdr:cNvPr id="9" name="직사각형 8"/>
        <xdr:cNvSpPr/>
      </xdr:nvSpPr>
      <xdr:spPr>
        <a:xfrm>
          <a:off x="1275790" y="1850653"/>
          <a:ext cx="5290857" cy="300878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latin typeface="HY헤드라인M" panose="02030600000101010101" pitchFamily="18" charset="-127"/>
              <a:ea typeface="HY헤드라인M" panose="02030600000101010101" pitchFamily="18" charset="-127"/>
            </a:rPr>
            <a:t>제품 </a:t>
          </a:r>
          <a:r>
            <a:rPr lang="en-US" altLang="ko-KR" sz="1600" b="1">
              <a:latin typeface="HY헤드라인M" panose="02030600000101010101" pitchFamily="18" charset="-127"/>
              <a:ea typeface="HY헤드라인M" panose="02030600000101010101" pitchFamily="18" charset="-127"/>
            </a:rPr>
            <a:t>Data</a:t>
          </a:r>
          <a:r>
            <a:rPr lang="en-US" altLang="ko-KR" sz="1600" b="1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ko-KR" altLang="en-US" sz="1600" b="1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입력 및 수정</a:t>
          </a:r>
          <a:endParaRPr lang="ko-KR" altLang="en-US" sz="1600" b="1"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15</xdr:row>
          <xdr:rowOff>9525</xdr:rowOff>
        </xdr:from>
        <xdr:to>
          <xdr:col>6</xdr:col>
          <xdr:colOff>95250</xdr:colOff>
          <xdr:row>25</xdr:row>
          <xdr:rowOff>38100</xdr:rowOff>
        </xdr:to>
        <xdr:sp macro="" textlink="">
          <xdr:nvSpPr>
            <xdr:cNvPr id="2050" name="제품출고정보입력단추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제품출고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15</xdr:row>
          <xdr:rowOff>9525</xdr:rowOff>
        </xdr:from>
        <xdr:to>
          <xdr:col>10</xdr:col>
          <xdr:colOff>123825</xdr:colOff>
          <xdr:row>25</xdr:row>
          <xdr:rowOff>38100</xdr:rowOff>
        </xdr:to>
        <xdr:sp macro="" textlink="">
          <xdr:nvSpPr>
            <xdr:cNvPr id="2051" name="제품별사이즈확인단추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제품별(모델별)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사이즈 확인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459441</xdr:colOff>
      <xdr:row>11</xdr:row>
      <xdr:rowOff>0</xdr:rowOff>
    </xdr:from>
    <xdr:to>
      <xdr:col>21</xdr:col>
      <xdr:colOff>-1</xdr:colOff>
      <xdr:row>27</xdr:row>
      <xdr:rowOff>100852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3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7115735" y="1725706"/>
          <a:ext cx="5591735" cy="2610970"/>
        </a:xfrm>
        <a:prstGeom prst="rect">
          <a:avLst/>
        </a:prstGeom>
      </xdr:spPr>
    </xdr:pic>
    <xdr:clientData/>
  </xdr:twoCellAnchor>
  <xdr:twoCellAnchor>
    <xdr:from>
      <xdr:col>11</xdr:col>
      <xdr:colOff>592231</xdr:colOff>
      <xdr:row>11</xdr:row>
      <xdr:rowOff>124947</xdr:rowOff>
    </xdr:from>
    <xdr:to>
      <xdr:col>20</xdr:col>
      <xdr:colOff>437029</xdr:colOff>
      <xdr:row>13</xdr:row>
      <xdr:rowOff>112060</xdr:rowOff>
    </xdr:to>
    <xdr:sp macro="" textlink="">
      <xdr:nvSpPr>
        <xdr:cNvPr id="15" name="직사각형 14"/>
        <xdr:cNvSpPr/>
      </xdr:nvSpPr>
      <xdr:spPr>
        <a:xfrm>
          <a:off x="7248525" y="1850653"/>
          <a:ext cx="5290857" cy="300878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latin typeface="HY헤드라인M" panose="02030600000101010101" pitchFamily="18" charset="-127"/>
              <a:ea typeface="HY헤드라인M" panose="02030600000101010101" pitchFamily="18" charset="-127"/>
            </a:rPr>
            <a:t>차량 정보 </a:t>
          </a:r>
          <a:r>
            <a:rPr lang="ko-KR" altLang="en-US" sz="1600" b="1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입력 및 확인</a:t>
          </a:r>
          <a:endParaRPr lang="ko-KR" altLang="en-US" sz="1600" b="1"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18</xdr:row>
          <xdr:rowOff>142875</xdr:rowOff>
        </xdr:from>
        <xdr:to>
          <xdr:col>20</xdr:col>
          <xdr:colOff>19050</xdr:colOff>
          <xdr:row>25</xdr:row>
          <xdr:rowOff>38100</xdr:rowOff>
        </xdr:to>
        <xdr:sp macro="" textlink="">
          <xdr:nvSpPr>
            <xdr:cNvPr id="2052" name="차량사양확인단추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차량 사양 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324970</xdr:colOff>
      <xdr:row>14</xdr:row>
      <xdr:rowOff>134471</xdr:rowOff>
    </xdr:from>
    <xdr:to>
      <xdr:col>16</xdr:col>
      <xdr:colOff>302559</xdr:colOff>
      <xdr:row>18</xdr:row>
      <xdr:rowOff>67237</xdr:rowOff>
    </xdr:to>
    <xdr:sp macro="" textlink="">
      <xdr:nvSpPr>
        <xdr:cNvPr id="18" name="TextBox 17"/>
        <xdr:cNvSpPr txBox="1"/>
      </xdr:nvSpPr>
      <xdr:spPr>
        <a:xfrm>
          <a:off x="7586382" y="2330824"/>
          <a:ext cx="2398059" cy="56029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800" b="1">
              <a:latin typeface="HY헤드라인M" panose="02030600000101010101" pitchFamily="18" charset="-127"/>
              <a:ea typeface="HY헤드라인M" panose="02030600000101010101" pitchFamily="18" charset="-127"/>
            </a:rPr>
            <a:t>적재 대상 차량 톤수 </a:t>
          </a:r>
          <a:r>
            <a:rPr lang="en-US" altLang="ko-KR" sz="1800" b="1">
              <a:latin typeface="HY헤드라인M" panose="02030600000101010101" pitchFamily="18" charset="-127"/>
              <a:ea typeface="HY헤드라인M" panose="02030600000101010101" pitchFamily="18" charset="-127"/>
            </a:rPr>
            <a:t>:</a:t>
          </a:r>
          <a:endParaRPr lang="ko-KR" altLang="en-US" sz="1800" b="1"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18</xdr:row>
          <xdr:rowOff>152400</xdr:rowOff>
        </xdr:from>
        <xdr:to>
          <xdr:col>15</xdr:col>
          <xdr:colOff>571500</xdr:colOff>
          <xdr:row>25</xdr:row>
          <xdr:rowOff>47625</xdr:rowOff>
        </xdr:to>
        <xdr:sp macro="" textlink="">
          <xdr:nvSpPr>
            <xdr:cNvPr id="2055" name="차량정보확인단추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차량 정보 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224117</xdr:colOff>
      <xdr:row>15</xdr:row>
      <xdr:rowOff>0</xdr:rowOff>
    </xdr:from>
    <xdr:to>
      <xdr:col>20</xdr:col>
      <xdr:colOff>89646</xdr:colOff>
      <xdr:row>18</xdr:row>
      <xdr:rowOff>89648</xdr:rowOff>
    </xdr:to>
    <xdr:sp macro="" textlink="">
      <xdr:nvSpPr>
        <xdr:cNvPr id="21" name="TextBox 20"/>
        <xdr:cNvSpPr txBox="1"/>
      </xdr:nvSpPr>
      <xdr:spPr>
        <a:xfrm>
          <a:off x="11721352" y="2353235"/>
          <a:ext cx="470647" cy="56029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800" b="1">
              <a:latin typeface="HY헤드라인M" panose="02030600000101010101" pitchFamily="18" charset="-127"/>
              <a:ea typeface="HY헤드라인M" panose="02030600000101010101" pitchFamily="18" charset="-127"/>
            </a:rPr>
            <a:t>톤</a:t>
          </a:r>
        </a:p>
      </xdr:txBody>
    </xdr:sp>
    <xdr:clientData/>
  </xdr:twoCellAnchor>
  <xdr:twoCellAnchor editAs="oneCell">
    <xdr:from>
      <xdr:col>1</xdr:col>
      <xdr:colOff>515470</xdr:colOff>
      <xdr:row>29</xdr:row>
      <xdr:rowOff>123265</xdr:rowOff>
    </xdr:from>
    <xdr:to>
      <xdr:col>21</xdr:col>
      <xdr:colOff>67235</xdr:colOff>
      <xdr:row>46</xdr:row>
      <xdr:rowOff>67235</xdr:rowOff>
    </xdr:to>
    <xdr:pic>
      <xdr:nvPicPr>
        <xdr:cNvPr id="23" name="그림 22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3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120588" y="4672853"/>
          <a:ext cx="11654118" cy="2610970"/>
        </a:xfrm>
        <a:prstGeom prst="rect">
          <a:avLst/>
        </a:prstGeom>
      </xdr:spPr>
    </xdr:pic>
    <xdr:clientData/>
  </xdr:twoCellAnchor>
  <xdr:twoCellAnchor>
    <xdr:from>
      <xdr:col>2</xdr:col>
      <xdr:colOff>66113</xdr:colOff>
      <xdr:row>30</xdr:row>
      <xdr:rowOff>80123</xdr:rowOff>
    </xdr:from>
    <xdr:to>
      <xdr:col>20</xdr:col>
      <xdr:colOff>437028</xdr:colOff>
      <xdr:row>32</xdr:row>
      <xdr:rowOff>67237</xdr:rowOff>
    </xdr:to>
    <xdr:sp macro="" textlink="">
      <xdr:nvSpPr>
        <xdr:cNvPr id="24" name="직사각형 23"/>
        <xdr:cNvSpPr/>
      </xdr:nvSpPr>
      <xdr:spPr>
        <a:xfrm>
          <a:off x="1276348" y="4786594"/>
          <a:ext cx="11263033" cy="300878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600" b="1">
              <a:solidFill>
                <a:schemeClr val="lt1"/>
              </a:solidFill>
              <a:latin typeface="HY헤드라인M" panose="02030600000101010101" pitchFamily="18" charset="-127"/>
              <a:ea typeface="HY헤드라인M" panose="02030600000101010101" pitchFamily="18" charset="-127"/>
              <a:cs typeface="+mn-cs"/>
            </a:rPr>
            <a:t>적재 시뮬레이션 실행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34</xdr:row>
          <xdr:rowOff>28575</xdr:rowOff>
        </xdr:from>
        <xdr:to>
          <xdr:col>11</xdr:col>
          <xdr:colOff>104775</xdr:colOff>
          <xdr:row>44</xdr:row>
          <xdr:rowOff>57150</xdr:rowOff>
        </xdr:to>
        <xdr:sp macro="" textlink="">
          <xdr:nvSpPr>
            <xdr:cNvPr id="2058" name="적재시뮬레이션수동실행단추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적재 시뮬레이션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수동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34</xdr:row>
          <xdr:rowOff>19050</xdr:rowOff>
        </xdr:from>
        <xdr:to>
          <xdr:col>6</xdr:col>
          <xdr:colOff>371475</xdr:colOff>
          <xdr:row>44</xdr:row>
          <xdr:rowOff>57150</xdr:rowOff>
        </xdr:to>
        <xdr:sp macro="" textlink="">
          <xdr:nvSpPr>
            <xdr:cNvPr id="2059" name="적재시뮬레이션수동실행매뉴얼단추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적재 시뮬레이션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수동 실행 매뉴얼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34</xdr:row>
          <xdr:rowOff>38100</xdr:rowOff>
        </xdr:from>
        <xdr:to>
          <xdr:col>15</xdr:col>
          <xdr:colOff>466725</xdr:colOff>
          <xdr:row>44</xdr:row>
          <xdr:rowOff>66675</xdr:rowOff>
        </xdr:to>
        <xdr:sp macro="" textlink="">
          <xdr:nvSpPr>
            <xdr:cNvPr id="2060" name="적재시뮬레이션자동실행단추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적재 시뮬레이션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자동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15</xdr:row>
          <xdr:rowOff>9525</xdr:rowOff>
        </xdr:from>
        <xdr:to>
          <xdr:col>19</xdr:col>
          <xdr:colOff>247650</xdr:colOff>
          <xdr:row>17</xdr:row>
          <xdr:rowOff>57150</xdr:rowOff>
        </xdr:to>
        <xdr:sp macro="" textlink="">
          <xdr:nvSpPr>
            <xdr:cNvPr id="2063" name="ComboBox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34</xdr:row>
          <xdr:rowOff>38100</xdr:rowOff>
        </xdr:from>
        <xdr:to>
          <xdr:col>20</xdr:col>
          <xdr:colOff>247650</xdr:colOff>
          <xdr:row>44</xdr:row>
          <xdr:rowOff>66675</xdr:rowOff>
        </xdr:to>
        <xdr:sp macro="" textlink="">
          <xdr:nvSpPr>
            <xdr:cNvPr id="2064" name="결과확인단추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결과 확인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(엑셀파일)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582707</xdr:colOff>
      <xdr:row>4</xdr:row>
      <xdr:rowOff>134471</xdr:rowOff>
    </xdr:from>
    <xdr:to>
      <xdr:col>20</xdr:col>
      <xdr:colOff>582707</xdr:colOff>
      <xdr:row>7</xdr:row>
      <xdr:rowOff>18385</xdr:rowOff>
    </xdr:to>
    <xdr:pic>
      <xdr:nvPicPr>
        <xdr:cNvPr id="25" name="Picture 2" descr="WITH POSCO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9707" y="762000"/>
          <a:ext cx="1815353" cy="3545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171450</xdr:colOff>
          <xdr:row>1</xdr:row>
          <xdr:rowOff>0</xdr:rowOff>
        </xdr:to>
        <xdr:sp macro="" textlink="">
          <xdr:nvSpPr>
            <xdr:cNvPr id="3073" name="시스템초화면돌아가기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0</xdr:row>
      <xdr:rowOff>704850</xdr:rowOff>
    </xdr:from>
    <xdr:to>
      <xdr:col>4</xdr:col>
      <xdr:colOff>390525</xdr:colOff>
      <xdr:row>7</xdr:row>
      <xdr:rowOff>38100</xdr:rowOff>
    </xdr:to>
    <xdr:sp macro="" textlink="">
      <xdr:nvSpPr>
        <xdr:cNvPr id="4" name="빗면 3"/>
        <xdr:cNvSpPr/>
      </xdr:nvSpPr>
      <xdr:spPr>
        <a:xfrm>
          <a:off x="485775" y="704850"/>
          <a:ext cx="5648325" cy="3448050"/>
        </a:xfrm>
        <a:prstGeom prst="bevel">
          <a:avLst>
            <a:gd name="adj" fmla="val 2279"/>
          </a:avLst>
        </a:prstGeom>
        <a:solidFill>
          <a:schemeClr val="bg2">
            <a:alpha val="7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1219200</xdr:colOff>
      <xdr:row>0</xdr:row>
      <xdr:rowOff>1028700</xdr:rowOff>
    </xdr:from>
    <xdr:to>
      <xdr:col>3</xdr:col>
      <xdr:colOff>47625</xdr:colOff>
      <xdr:row>0</xdr:row>
      <xdr:rowOff>1685925</xdr:rowOff>
    </xdr:to>
    <xdr:sp macro="" textlink="">
      <xdr:nvSpPr>
        <xdr:cNvPr id="2" name="빗면 1"/>
        <xdr:cNvSpPr/>
      </xdr:nvSpPr>
      <xdr:spPr>
        <a:xfrm>
          <a:off x="1219200" y="1028700"/>
          <a:ext cx="3962400" cy="657225"/>
        </a:xfrm>
        <a:prstGeom prst="bevel">
          <a:avLst/>
        </a:prstGeom>
        <a:solidFill>
          <a:srgbClr val="00206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적재 대상 차량 톤수를 입력하세요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0</xdr:col>
          <xdr:colOff>257175</xdr:colOff>
          <xdr:row>0</xdr:row>
          <xdr:rowOff>247650</xdr:rowOff>
        </xdr:to>
        <xdr:sp macro="" textlink="">
          <xdr:nvSpPr>
            <xdr:cNvPr id="1030" name="시스템초화면돌아가기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◀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152400</xdr:colOff>
          <xdr:row>1</xdr:row>
          <xdr:rowOff>9525</xdr:rowOff>
        </xdr:to>
        <xdr:sp macro="" textlink="">
          <xdr:nvSpPr>
            <xdr:cNvPr id="4097" name="시스템초화면돌아가기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152400</xdr:colOff>
          <xdr:row>1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HY헤드라인M"/>
                  <a:ea typeface="HY헤드라인M"/>
                </a:rPr>
                <a:t>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W11"/>
  <sheetViews>
    <sheetView tabSelected="1" zoomScaleNormal="100" workbookViewId="0">
      <selection activeCell="Y30" sqref="Y30"/>
    </sheetView>
  </sheetViews>
  <sheetFormatPr defaultRowHeight="12"/>
  <cols>
    <col min="1" max="16384" width="9.140625" style="14"/>
  </cols>
  <sheetData>
    <row r="11" spans="23:23">
      <c r="W11" s="13"/>
    </row>
  </sheetData>
  <sheetProtection algorithmName="SHA-512" hashValue="y96SVOFbYifSA3eMYqzaW4P84ef5RRg2SqaArpH4og3QQcqYVfph/oFaGUFU3Irbv6A7dG7vMHU1VFvXSGrPtw==" saltValue="YNbEUoHUi3gc85badwu5XA==" spinCount="100000" sheet="1" objects="1" scenarios="1" selectLockedCells="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boBox1">
          <controlPr defaultSize="0" autoLine="0" autoPict="0" linkedCell="INPUT_Truck_Ton!B2" listFillRange="TonRange" r:id="rId5">
            <anchor moveWithCells="1">
              <from>
                <xdr:col>16</xdr:col>
                <xdr:colOff>428625</xdr:colOff>
                <xdr:row>15</xdr:row>
                <xdr:rowOff>9525</xdr:rowOff>
              </from>
              <to>
                <xdr:col>19</xdr:col>
                <xdr:colOff>247650</xdr:colOff>
                <xdr:row>17</xdr:row>
                <xdr:rowOff>57150</xdr:rowOff>
              </to>
            </anchor>
          </controlPr>
        </control>
      </mc:Choice>
      <mc:Fallback>
        <control shapeId="2063" r:id="rId4" name="ComboBox1"/>
      </mc:Fallback>
    </mc:AlternateContent>
    <mc:AlternateContent xmlns:mc="http://schemas.openxmlformats.org/markup-compatibility/2006">
      <mc:Choice Requires="x14">
        <control shapeId="2050" r:id="rId6" name="제품출고정보입력단추">
          <controlPr defaultSize="0" print="0" autoFill="0" autoPict="0" macro="[0]!제품출고정보입력">
            <anchor moveWithCells="1" sizeWithCells="1">
              <from>
                <xdr:col>2</xdr:col>
                <xdr:colOff>381000</xdr:colOff>
                <xdr:row>15</xdr:row>
                <xdr:rowOff>9525</xdr:rowOff>
              </from>
              <to>
                <xdr:col>6</xdr:col>
                <xdr:colOff>95250</xdr:colOff>
                <xdr:row>25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제품별사이즈확인단추">
          <controlPr defaultSize="0" print="0" autoFill="0" autoPict="0" macro="[0]!제품별사이즈확인">
            <anchor moveWithCells="1" sizeWithCells="1">
              <from>
                <xdr:col>6</xdr:col>
                <xdr:colOff>400050</xdr:colOff>
                <xdr:row>15</xdr:row>
                <xdr:rowOff>9525</xdr:rowOff>
              </from>
              <to>
                <xdr:col>10</xdr:col>
                <xdr:colOff>123825</xdr:colOff>
                <xdr:row>25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8" name="차량사양확인단추">
          <controlPr defaultSize="0" print="0" autoFill="0" autoPict="0" macro="[0]!차량사양확인">
            <anchor moveWithCells="1" sizeWithCells="1">
              <from>
                <xdr:col>16</xdr:col>
                <xdr:colOff>428625</xdr:colOff>
                <xdr:row>18</xdr:row>
                <xdr:rowOff>142875</xdr:rowOff>
              </from>
              <to>
                <xdr:col>20</xdr:col>
                <xdr:colOff>19050</xdr:colOff>
                <xdr:row>25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9" name="차량정보확인단추">
          <controlPr defaultSize="0" print="0" autoFill="0" autoPict="0" macro="[0]!차량정보확인">
            <anchor moveWithCells="1" sizeWithCells="1">
              <from>
                <xdr:col>12</xdr:col>
                <xdr:colOff>371475</xdr:colOff>
                <xdr:row>18</xdr:row>
                <xdr:rowOff>152400</xdr:rowOff>
              </from>
              <to>
                <xdr:col>15</xdr:col>
                <xdr:colOff>571500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0" name="적재시뮬레이션수동실행단추">
          <controlPr defaultSize="0" print="0" autoFill="0" autoPict="0">
            <anchor moveWithCells="1" sizeWithCells="1">
              <from>
                <xdr:col>7</xdr:col>
                <xdr:colOff>171450</xdr:colOff>
                <xdr:row>34</xdr:row>
                <xdr:rowOff>28575</xdr:rowOff>
              </from>
              <to>
                <xdr:col>11</xdr:col>
                <xdr:colOff>104775</xdr:colOff>
                <xdr:row>44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적재시뮬레이션수동실행매뉴얼단추">
          <controlPr defaultSize="0" print="0" autoFill="0" autoPict="0">
            <anchor moveWithCells="1" sizeWithCells="1">
              <from>
                <xdr:col>2</xdr:col>
                <xdr:colOff>419100</xdr:colOff>
                <xdr:row>34</xdr:row>
                <xdr:rowOff>19050</xdr:rowOff>
              </from>
              <to>
                <xdr:col>6</xdr:col>
                <xdr:colOff>371475</xdr:colOff>
                <xdr:row>44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적재시뮬레이션자동실행단추">
          <controlPr defaultSize="0" print="0" autoFill="0" autoPict="0" macro="[0]!적재시뮬레이션자동실행단추_Click">
            <anchor moveWithCells="1" sizeWithCells="1">
              <from>
                <xdr:col>11</xdr:col>
                <xdr:colOff>504825</xdr:colOff>
                <xdr:row>34</xdr:row>
                <xdr:rowOff>38100</xdr:rowOff>
              </from>
              <to>
                <xdr:col>15</xdr:col>
                <xdr:colOff>466725</xdr:colOff>
                <xdr:row>44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3" name="결과확인단추">
          <controlPr defaultSize="0" print="0" autoFill="0" autoPict="0" macro="[0]!결과확인단추_Click">
            <anchor moveWithCells="1" sizeWithCells="1">
              <from>
                <xdr:col>16</xdr:col>
                <xdr:colOff>285750</xdr:colOff>
                <xdr:row>34</xdr:row>
                <xdr:rowOff>38100</xdr:rowOff>
              </from>
              <to>
                <xdr:col>20</xdr:col>
                <xdr:colOff>247650</xdr:colOff>
                <xdr:row>44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52"/>
  <sheetViews>
    <sheetView workbookViewId="0">
      <selection activeCell="A2" sqref="A2"/>
    </sheetView>
  </sheetViews>
  <sheetFormatPr defaultRowHeight="12"/>
  <cols>
    <col min="1" max="1" width="19.28515625" style="26" bestFit="1" customWidth="1"/>
    <col min="2" max="2" width="15.7109375" style="3" bestFit="1" customWidth="1"/>
    <col min="3" max="3" width="11.28515625" style="3" bestFit="1" customWidth="1"/>
    <col min="4" max="4" width="13.85546875" style="3" bestFit="1" customWidth="1"/>
    <col min="5" max="5" width="12.5703125" style="3" bestFit="1" customWidth="1"/>
    <col min="6" max="6" width="19.7109375" style="3" bestFit="1" customWidth="1"/>
    <col min="7" max="7" width="32.5703125" style="3" bestFit="1" customWidth="1"/>
    <col min="8" max="8" width="11.28515625" style="3" bestFit="1" customWidth="1"/>
    <col min="9" max="9" width="8.85546875" style="3" bestFit="1" customWidth="1"/>
    <col min="10" max="10" width="13" style="3" bestFit="1" customWidth="1"/>
    <col min="11" max="11" width="46.5703125" style="3" bestFit="1" customWidth="1"/>
    <col min="12" max="12" width="18" style="3" bestFit="1" customWidth="1"/>
    <col min="13" max="13" width="13.5703125" style="3" bestFit="1" customWidth="1"/>
    <col min="14" max="16384" width="9.140625" style="3"/>
  </cols>
  <sheetData>
    <row r="1" spans="1:14" s="14" customFormat="1" ht="13.5">
      <c r="A1" s="27" t="s">
        <v>19</v>
      </c>
      <c r="B1" s="28" t="s">
        <v>20</v>
      </c>
      <c r="C1" s="28" t="s">
        <v>21</v>
      </c>
      <c r="D1" s="28" t="s">
        <v>22</v>
      </c>
      <c r="E1" s="28" t="s">
        <v>23</v>
      </c>
      <c r="F1" s="28" t="s">
        <v>24</v>
      </c>
      <c r="G1" s="28" t="s">
        <v>25</v>
      </c>
      <c r="H1" s="28" t="s">
        <v>26</v>
      </c>
      <c r="I1" s="28" t="s">
        <v>27</v>
      </c>
      <c r="J1" s="28" t="s">
        <v>28</v>
      </c>
      <c r="K1" s="28" t="s">
        <v>29</v>
      </c>
      <c r="L1" s="28" t="s">
        <v>30</v>
      </c>
      <c r="M1" s="28" t="s">
        <v>31</v>
      </c>
    </row>
    <row r="2" spans="1:14" ht="13.5">
      <c r="A2" s="25">
        <v>201806210122</v>
      </c>
      <c r="B2" s="2" t="s">
        <v>0</v>
      </c>
      <c r="C2" s="2" t="s">
        <v>32</v>
      </c>
      <c r="D2" s="2" t="s">
        <v>33</v>
      </c>
      <c r="E2" s="2" t="s">
        <v>34</v>
      </c>
      <c r="F2" s="2" t="s">
        <v>35</v>
      </c>
      <c r="G2" s="2" t="s">
        <v>36</v>
      </c>
      <c r="H2" s="2">
        <v>1500</v>
      </c>
      <c r="I2" s="2">
        <v>650</v>
      </c>
      <c r="J2" s="2">
        <v>720</v>
      </c>
      <c r="K2" s="2" t="s">
        <v>37</v>
      </c>
      <c r="L2" s="2"/>
      <c r="M2" s="2">
        <v>1</v>
      </c>
    </row>
    <row r="3" spans="1:14" ht="13.5">
      <c r="A3" s="25">
        <v>201806210122</v>
      </c>
      <c r="B3" s="2" t="s">
        <v>0</v>
      </c>
      <c r="C3" s="2" t="s">
        <v>32</v>
      </c>
      <c r="D3" s="2" t="s">
        <v>33</v>
      </c>
      <c r="E3" s="2" t="s">
        <v>38</v>
      </c>
      <c r="F3" s="2" t="s">
        <v>39</v>
      </c>
      <c r="G3" s="2" t="s">
        <v>40</v>
      </c>
      <c r="H3" s="2">
        <v>650</v>
      </c>
      <c r="I3" s="2">
        <v>650</v>
      </c>
      <c r="J3" s="2">
        <v>410</v>
      </c>
      <c r="K3" s="2" t="s">
        <v>37</v>
      </c>
      <c r="L3" s="2"/>
      <c r="M3" s="2">
        <v>3</v>
      </c>
    </row>
    <row r="4" spans="1:14" ht="13.5">
      <c r="A4" s="25">
        <v>201806210122</v>
      </c>
      <c r="B4" s="2" t="s">
        <v>0</v>
      </c>
      <c r="C4" s="2" t="s">
        <v>32</v>
      </c>
      <c r="D4" s="2" t="s">
        <v>33</v>
      </c>
      <c r="E4" s="2" t="s">
        <v>41</v>
      </c>
      <c r="F4" s="2" t="s">
        <v>42</v>
      </c>
      <c r="G4" s="2" t="s">
        <v>43</v>
      </c>
      <c r="H4" s="2">
        <v>800</v>
      </c>
      <c r="I4" s="2">
        <v>400</v>
      </c>
      <c r="J4" s="2">
        <v>1840</v>
      </c>
      <c r="K4" s="2" t="s">
        <v>44</v>
      </c>
      <c r="L4" s="2"/>
      <c r="M4" s="2">
        <v>2</v>
      </c>
    </row>
    <row r="5" spans="1:14" ht="13.5">
      <c r="A5" s="25">
        <v>201806210122</v>
      </c>
      <c r="B5" s="2" t="s">
        <v>0</v>
      </c>
      <c r="C5" s="2" t="s">
        <v>32</v>
      </c>
      <c r="D5" s="2" t="s">
        <v>33</v>
      </c>
      <c r="E5" s="2" t="s">
        <v>45</v>
      </c>
      <c r="F5" s="2" t="s">
        <v>46</v>
      </c>
      <c r="G5" s="2" t="s">
        <v>47</v>
      </c>
      <c r="H5" s="2">
        <v>800</v>
      </c>
      <c r="I5" s="2">
        <v>403</v>
      </c>
      <c r="J5" s="2">
        <v>18</v>
      </c>
      <c r="K5" s="2" t="s">
        <v>48</v>
      </c>
      <c r="L5" s="2"/>
      <c r="M5" s="2">
        <v>2</v>
      </c>
    </row>
    <row r="6" spans="1:14" ht="13.5">
      <c r="A6" s="25">
        <v>201806210122</v>
      </c>
      <c r="B6" s="2" t="s">
        <v>0</v>
      </c>
      <c r="C6" s="2" t="s">
        <v>32</v>
      </c>
      <c r="D6" s="2" t="s">
        <v>33</v>
      </c>
      <c r="E6" s="2" t="s">
        <v>49</v>
      </c>
      <c r="F6" s="2" t="s">
        <v>50</v>
      </c>
      <c r="G6" s="2" t="s">
        <v>51</v>
      </c>
      <c r="H6" s="2">
        <v>520</v>
      </c>
      <c r="I6" s="2">
        <v>550</v>
      </c>
      <c r="J6" s="2">
        <v>775</v>
      </c>
      <c r="K6" s="2" t="s">
        <v>52</v>
      </c>
      <c r="L6" s="2"/>
      <c r="M6" s="2">
        <v>15</v>
      </c>
    </row>
    <row r="7" spans="1:14" ht="13.5">
      <c r="A7" s="25">
        <v>201806210122</v>
      </c>
      <c r="B7" s="2" t="s">
        <v>0</v>
      </c>
      <c r="C7" s="2" t="s">
        <v>32</v>
      </c>
      <c r="D7" s="2" t="s">
        <v>33</v>
      </c>
      <c r="E7" s="2" t="s">
        <v>53</v>
      </c>
      <c r="F7" s="2" t="s">
        <v>54</v>
      </c>
      <c r="G7" s="2" t="s">
        <v>55</v>
      </c>
      <c r="H7" s="2">
        <v>600</v>
      </c>
      <c r="I7" s="2">
        <v>540</v>
      </c>
      <c r="J7" s="2">
        <v>845</v>
      </c>
      <c r="K7" s="2" t="s">
        <v>56</v>
      </c>
      <c r="L7" s="2"/>
      <c r="M7" s="2">
        <v>50</v>
      </c>
    </row>
    <row r="8" spans="1:14" ht="13.5">
      <c r="A8" s="25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4" ht="13.5">
      <c r="A9" s="25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4" ht="13.5">
      <c r="A10" s="25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4" ht="13.5">
      <c r="A11" s="25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4" ht="13.5">
      <c r="A12" s="25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4" ht="13.5">
      <c r="A13" s="25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4" ht="13.5">
      <c r="A14" s="25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4" ht="13.5">
      <c r="A15" s="25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4" ht="13.5">
      <c r="A16" s="25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t="13.5">
      <c r="A17" s="25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t="13.5">
      <c r="A18" s="25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t="13.5">
      <c r="A19" s="25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t="13.5">
      <c r="A20" s="25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t="13.5">
      <c r="A21" s="25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t="13.5">
      <c r="A22" s="25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t="13.5">
      <c r="A23" s="25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t="13.5">
      <c r="A24" s="25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t="13.5">
      <c r="A25" s="25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4" ht="13.5">
      <c r="A26" s="25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4" ht="13.5">
      <c r="A27" s="25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4" ht="13.5">
      <c r="A28" s="25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4" ht="13.5">
      <c r="A29" s="25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4" ht="13.5">
      <c r="A30" s="25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4" ht="13.5">
      <c r="A31" s="25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4" ht="13.5">
      <c r="A32" s="25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ht="13.5">
      <c r="A33" s="25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ht="13.5">
      <c r="A34" s="25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ht="13.5">
      <c r="A35" s="25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ht="13.5">
      <c r="A36" s="25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ht="13.5">
      <c r="A37" s="25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ht="13.5">
      <c r="A38" s="25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ht="13.5">
      <c r="A39" s="25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ht="13.5">
      <c r="A40" s="25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ht="13.5">
      <c r="A41" s="25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ht="13.5">
      <c r="A42" s="25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ht="13.5">
      <c r="A43" s="25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ht="13.5">
      <c r="A44" s="25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ht="13.5">
      <c r="A45" s="25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ht="13.5">
      <c r="A46" s="25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ht="13.5">
      <c r="A47" s="25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ht="13.5">
      <c r="A48" s="25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ht="13.5">
      <c r="A49" s="2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ht="13.5">
      <c r="A50" s="25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ht="13.5">
      <c r="A51" s="25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ht="13.5">
      <c r="A52" s="25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</sheetData>
  <sheetProtection algorithmName="SHA-512" hashValue="nuNiXe+Ur0eL+MVzFQbQeF5jjzkloZiLx1S2OA3v7sGwd8tEwQV/s7xiOOU4bY1Tm3fce8UtZe5jqqvnGJzL+A==" saltValue="+4CSoFWLQn5yrwHCgnrywg==" spinCount="100000" sheet="1" objects="1" scenarios="1" selectLockedCells="1"/>
  <phoneticPr fontId="1" type="noConversion"/>
  <conditionalFormatting sqref="A1:M1048576">
    <cfRule type="expression" dxfId="1" priority="1">
      <formula>$A1&lt;&gt;""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시스템초화면돌아가기1">
              <controlPr defaultSize="0" print="0" autoFill="0" autoPict="0" macro="[0]!시스템초화면돌아가기1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171450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51"/>
  <sheetViews>
    <sheetView workbookViewId="0">
      <selection activeCell="B2" sqref="B2"/>
    </sheetView>
  </sheetViews>
  <sheetFormatPr defaultRowHeight="12"/>
  <cols>
    <col min="1" max="1" width="26.85546875" style="1" customWidth="1"/>
    <col min="2" max="2" width="41" style="1" customWidth="1"/>
    <col min="3" max="4" width="9.140625" style="1"/>
    <col min="5" max="6" width="9.140625" style="10"/>
    <col min="7" max="19" width="9.140625" style="11"/>
    <col min="20" max="16384" width="9.140625" style="1"/>
  </cols>
  <sheetData>
    <row r="1" spans="1:20" s="4" customFormat="1" ht="148.5" customHeight="1">
      <c r="A1" s="6"/>
      <c r="B1" s="8"/>
      <c r="C1" s="8"/>
      <c r="D1" s="8"/>
      <c r="E1" s="9"/>
      <c r="F1" s="8"/>
      <c r="G1" s="8"/>
      <c r="H1" s="8"/>
      <c r="I1" s="8"/>
      <c r="J1" s="8"/>
      <c r="K1" s="8"/>
      <c r="L1" s="8"/>
      <c r="M1" s="8" t="s">
        <v>17</v>
      </c>
      <c r="N1" s="8" t="s">
        <v>17</v>
      </c>
      <c r="O1" s="8" t="s">
        <v>17</v>
      </c>
      <c r="P1" s="8" t="s">
        <v>17</v>
      </c>
      <c r="Q1" s="8" t="s">
        <v>17</v>
      </c>
      <c r="R1" s="8" t="s">
        <v>17</v>
      </c>
      <c r="S1" s="8"/>
      <c r="T1" s="9"/>
    </row>
    <row r="2" spans="1:20" ht="115.5" customHeight="1">
      <c r="B2" s="7" t="s">
        <v>57</v>
      </c>
      <c r="C2" s="5" t="s">
        <v>16</v>
      </c>
      <c r="F2" s="11"/>
      <c r="T2" s="10"/>
    </row>
    <row r="3" spans="1:20">
      <c r="F3" s="11"/>
      <c r="T3" s="10"/>
    </row>
    <row r="4" spans="1:20">
      <c r="F4" s="11"/>
      <c r="H4" s="11">
        <v>1</v>
      </c>
      <c r="T4" s="10"/>
    </row>
    <row r="5" spans="1:20">
      <c r="F5" s="11"/>
      <c r="H5" s="11">
        <v>1.4</v>
      </c>
      <c r="T5" s="10"/>
    </row>
    <row r="6" spans="1:20">
      <c r="F6" s="11"/>
      <c r="H6" s="11">
        <v>2.5</v>
      </c>
      <c r="T6" s="10"/>
    </row>
    <row r="7" spans="1:20">
      <c r="F7" s="11"/>
      <c r="H7" s="11">
        <v>3.5</v>
      </c>
      <c r="T7" s="10"/>
    </row>
    <row r="8" spans="1:20">
      <c r="F8" s="11"/>
      <c r="H8" s="11">
        <v>5</v>
      </c>
      <c r="T8" s="10"/>
    </row>
    <row r="9" spans="1:20">
      <c r="F9" s="11"/>
      <c r="H9" s="11">
        <v>5.5</v>
      </c>
      <c r="T9" s="10"/>
    </row>
    <row r="10" spans="1:20">
      <c r="F10" s="11"/>
      <c r="H10" s="11">
        <v>11</v>
      </c>
      <c r="T10" s="10"/>
    </row>
    <row r="11" spans="1:20">
      <c r="F11" s="11"/>
      <c r="T11" s="10"/>
    </row>
    <row r="12" spans="1:20">
      <c r="F12" s="11"/>
      <c r="T12" s="10"/>
    </row>
    <row r="13" spans="1:20">
      <c r="F13" s="11"/>
      <c r="T13" s="10"/>
    </row>
    <row r="14" spans="1:20">
      <c r="F14" s="11"/>
      <c r="T14" s="10"/>
    </row>
    <row r="15" spans="1:20">
      <c r="T15" s="10"/>
    </row>
    <row r="16" spans="1:20">
      <c r="T16" s="10"/>
    </row>
    <row r="17" spans="20:20">
      <c r="T17" s="10"/>
    </row>
    <row r="18" spans="20:20">
      <c r="T18" s="10"/>
    </row>
    <row r="19" spans="20:20">
      <c r="T19" s="10"/>
    </row>
    <row r="20" spans="20:20">
      <c r="T20" s="10"/>
    </row>
    <row r="21" spans="20:20">
      <c r="T21" s="10"/>
    </row>
    <row r="22" spans="20:20">
      <c r="T22" s="10"/>
    </row>
    <row r="23" spans="20:20">
      <c r="T23" s="10"/>
    </row>
    <row r="24" spans="20:20">
      <c r="T24" s="10"/>
    </row>
    <row r="25" spans="20:20">
      <c r="T25" s="10"/>
    </row>
    <row r="26" spans="20:20">
      <c r="T26" s="10"/>
    </row>
    <row r="27" spans="20:20">
      <c r="T27" s="10"/>
    </row>
    <row r="28" spans="20:20">
      <c r="T28" s="12"/>
    </row>
    <row r="29" spans="20:20">
      <c r="T29" s="12"/>
    </row>
    <row r="30" spans="20:20">
      <c r="T30" s="12"/>
    </row>
    <row r="31" spans="20:20">
      <c r="T31" s="12"/>
    </row>
    <row r="32" spans="20:20">
      <c r="T32" s="12"/>
    </row>
    <row r="33" spans="20:20">
      <c r="T33" s="12"/>
    </row>
    <row r="34" spans="20:20">
      <c r="T34" s="12"/>
    </row>
    <row r="35" spans="20:20">
      <c r="T35" s="12"/>
    </row>
    <row r="36" spans="20:20">
      <c r="T36" s="12"/>
    </row>
    <row r="37" spans="20:20">
      <c r="T37" s="12"/>
    </row>
    <row r="38" spans="20:20">
      <c r="T38" s="12"/>
    </row>
    <row r="39" spans="20:20">
      <c r="T39" s="12"/>
    </row>
    <row r="40" spans="20:20">
      <c r="T40" s="12"/>
    </row>
    <row r="41" spans="20:20">
      <c r="T41" s="12"/>
    </row>
    <row r="42" spans="20:20">
      <c r="T42" s="12"/>
    </row>
    <row r="43" spans="20:20">
      <c r="T43" s="12"/>
    </row>
    <row r="44" spans="20:20">
      <c r="T44" s="12"/>
    </row>
    <row r="45" spans="20:20">
      <c r="T45" s="12"/>
    </row>
    <row r="46" spans="20:20">
      <c r="T46" s="12"/>
    </row>
    <row r="47" spans="20:20">
      <c r="T47" s="12"/>
    </row>
    <row r="48" spans="20:20">
      <c r="T48" s="12"/>
    </row>
    <row r="49" spans="20:20">
      <c r="T49" s="12"/>
    </row>
    <row r="50" spans="20:20">
      <c r="T50" s="12"/>
    </row>
    <row r="51" spans="20:20">
      <c r="T51" s="12"/>
    </row>
  </sheetData>
  <sheetProtection algorithmName="SHA-512" hashValue="EDqSUG/bOFb1Ck7IOUvhn2uO2UKOnCAYNFivtdQTDgU4VqZOOC3YkPRiDXjhiWYdHe124KqpIntPRPDTmUZHiQ==" saltValue="kfwnOOfFuMNeiMynebpnJg==" spinCount="100000" sheet="1" objects="1" scenarios="1" selectLockedCells="1"/>
  <protectedRanges>
    <protectedRange algorithmName="SHA-512" hashValue="SwUT2pC1yPYGA+9i2DcBUrvDts+9QNxAGvywiDKHoUfM1UKthRYLGGoFe8uNn1ZP9NJSywEy7sr0V52OvxVU4A==" saltValue="bCJl892BaHl1RxSYQ+PE+g==" spinCount="100000" sqref="B2" name="범위1"/>
  </protectedRanges>
  <phoneticPr fontId="1" type="noConversion"/>
  <dataValidations count="1">
    <dataValidation type="list" errorStyle="information" allowBlank="1" showInputMessage="1" showErrorMessage="1" errorTitle="차량 톤수 입력오류" error="적재 대상 차량 톤수를 다음과 같은 값 중에서 입력하세요._x000a__x000a_예) 1, 1.4, 2.5, 3.5, 5, 5.5, 11" sqref="B2">
      <formula1>$H$4:$H$10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시스템초화면돌아가기3">
              <controlPr defaultSize="0" print="0" autoFill="0" autoPict="0" macro="[0]!시스템초화면돌아가기3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0</xdr:col>
                    <xdr:colOff>257175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00"/>
  <sheetViews>
    <sheetView showZeros="0" zoomScale="130" zoomScaleNormal="130" workbookViewId="0">
      <selection activeCell="H1" sqref="H1"/>
    </sheetView>
  </sheetViews>
  <sheetFormatPr defaultRowHeight="12"/>
  <cols>
    <col min="1" max="3" width="24" style="17" customWidth="1"/>
    <col min="4" max="4" width="17.42578125" style="24" bestFit="1" customWidth="1"/>
    <col min="5" max="7" width="24" style="19" customWidth="1"/>
    <col min="8" max="8" width="9.140625" style="17"/>
    <col min="9" max="16384" width="9.140625" style="18"/>
  </cols>
  <sheetData>
    <row r="1" spans="1:7">
      <c r="A1" s="15" t="s">
        <v>1</v>
      </c>
      <c r="B1" s="15" t="s">
        <v>9</v>
      </c>
      <c r="C1" s="15" t="s">
        <v>10</v>
      </c>
      <c r="D1" s="23" t="s">
        <v>18</v>
      </c>
      <c r="E1" s="16" t="s">
        <v>11</v>
      </c>
      <c r="F1" s="16" t="s">
        <v>12</v>
      </c>
      <c r="G1" s="16" t="s">
        <v>13</v>
      </c>
    </row>
    <row r="2" spans="1:7">
      <c r="A2" s="17">
        <f>IF($B2="", "", ROW()-1)</f>
        <v>1</v>
      </c>
      <c r="B2" s="17" t="str">
        <f>IF(INPUT_sheet!$F2=0,"", IF(LEFT((INPUT_sheet!$F2),1)="(",RIGHT((INPUT_sheet!$F2),LEN(INPUT_sheet!$F2)-3), (INPUT_sheet!$F2)))</f>
        <v>CHS0103KL</v>
      </c>
      <c r="C2" s="17">
        <f>IF(INPUT_sheet!M2=0, "", INPUT_sheet!M2)</f>
        <v>1</v>
      </c>
      <c r="D2" s="24">
        <f>IF(INPUT_sheet!A2=0,"",INPUT_sheet!A2)</f>
        <v>201806210122</v>
      </c>
      <c r="E2" s="19">
        <f>IF(INPUT_sheet!H2=0,"",(INPUT_sheet!H2)/1000)</f>
        <v>1.5</v>
      </c>
      <c r="F2" s="19">
        <f>IF(INPUT_sheet!I2=0,"",(INPUT_sheet!I2)/1000)</f>
        <v>0.65</v>
      </c>
      <c r="G2" s="19">
        <f>IF(INPUT_sheet!J2=0,"",(INPUT_sheet!J2)/1000)</f>
        <v>0.72</v>
      </c>
    </row>
    <row r="3" spans="1:7">
      <c r="A3" s="17">
        <f t="shared" ref="A3:A66" si="0">IF($B3="", "", ROW()-1)</f>
        <v>2</v>
      </c>
      <c r="B3" s="17" t="str">
        <f>IF(INPUT_sheet!$F3=0,"", IF(LEFT((INPUT_sheet!$F3),1)="(",RIGHT((INPUT_sheet!$F3),LEN(INPUT_sheet!$F3)-3), (INPUT_sheet!$F3)))</f>
        <v>CHS0121KL</v>
      </c>
      <c r="C3" s="17">
        <f>IF(INPUT_sheet!M3=0, "", INPUT_sheet!M3)</f>
        <v>3</v>
      </c>
      <c r="D3" s="24">
        <f>IF(INPUT_sheet!A3=0,"",INPUT_sheet!A3)</f>
        <v>201806210122</v>
      </c>
      <c r="E3" s="19">
        <f>IF(INPUT_sheet!H3=0,"",(INPUT_sheet!H3)/1000)</f>
        <v>0.65</v>
      </c>
      <c r="F3" s="19">
        <f>IF(INPUT_sheet!I3=0,"",(INPUT_sheet!I3)/1000)</f>
        <v>0.65</v>
      </c>
      <c r="G3" s="19">
        <f>IF(INPUT_sheet!J3=0,"",(INPUT_sheet!J3)/1000)</f>
        <v>0.41</v>
      </c>
    </row>
    <row r="4" spans="1:7">
      <c r="A4" s="17">
        <f t="shared" si="0"/>
        <v>3</v>
      </c>
      <c r="B4" s="17" t="str">
        <f>IF(INPUT_sheet!$F4=0,"", IF(LEFT((INPUT_sheet!$F4),1)="(",RIGHT((INPUT_sheet!$F4),LEN(INPUT_sheet!$F4)-3), (INPUT_sheet!$F4)))</f>
        <v>CND8511IN</v>
      </c>
      <c r="C4" s="17">
        <f>IF(INPUT_sheet!M4=0, "", INPUT_sheet!M4)</f>
        <v>2</v>
      </c>
      <c r="D4" s="24">
        <f>IF(INPUT_sheet!A4=0,"",INPUT_sheet!A4)</f>
        <v>201806210122</v>
      </c>
      <c r="E4" s="19">
        <f>IF(INPUT_sheet!H4=0,"",(INPUT_sheet!H4)/1000)</f>
        <v>0.8</v>
      </c>
      <c r="F4" s="19">
        <f>IF(INPUT_sheet!I4=0,"",(INPUT_sheet!I4)/1000)</f>
        <v>0.4</v>
      </c>
      <c r="G4" s="19">
        <f>IF(INPUT_sheet!J4=0,"",(INPUT_sheet!J4)/1000)</f>
        <v>1.84</v>
      </c>
    </row>
    <row r="5" spans="1:7">
      <c r="A5" s="17">
        <f t="shared" si="0"/>
        <v>4</v>
      </c>
      <c r="B5" s="17" t="str">
        <f>IF(INPUT_sheet!$F5=0,"", IF(LEFT((INPUT_sheet!$F5),1)="(",RIGHT((INPUT_sheet!$F5),LEN(INPUT_sheet!$F5)-3), (INPUT_sheet!$F5)))</f>
        <v>CTP8010EN</v>
      </c>
      <c r="C5" s="17">
        <f>IF(INPUT_sheet!M5=0, "", INPUT_sheet!M5)</f>
        <v>2</v>
      </c>
      <c r="D5" s="24">
        <f>IF(INPUT_sheet!A5=0,"",INPUT_sheet!A5)</f>
        <v>201806210122</v>
      </c>
      <c r="E5" s="19">
        <f>IF(INPUT_sheet!H5=0,"",(INPUT_sheet!H5)/1000)</f>
        <v>0.8</v>
      </c>
      <c r="F5" s="19">
        <f>IF(INPUT_sheet!I5=0,"",(INPUT_sheet!I5)/1000)</f>
        <v>0.40300000000000002</v>
      </c>
      <c r="G5" s="19">
        <f>IF(INPUT_sheet!J5=0,"",(INPUT_sheet!J5)/1000)</f>
        <v>1.7999999999999999E-2</v>
      </c>
    </row>
    <row r="6" spans="1:7">
      <c r="A6" s="17">
        <f t="shared" si="0"/>
        <v>5</v>
      </c>
      <c r="B6" s="17" t="str">
        <f>IF(INPUT_sheet!$F6=0,"", IF(LEFT((INPUT_sheet!$F6),1)="(",RIGHT((INPUT_sheet!$F6),LEN(INPUT_sheet!$F6)-3), (INPUT_sheet!$F6)))</f>
        <v>CH3230KL</v>
      </c>
      <c r="C6" s="17">
        <f>IF(INPUT_sheet!M6=0, "", INPUT_sheet!M6)</f>
        <v>15</v>
      </c>
      <c r="D6" s="24">
        <f>IF(INPUT_sheet!A6=0,"",INPUT_sheet!A6)</f>
        <v>201806210122</v>
      </c>
      <c r="E6" s="19">
        <f>IF(INPUT_sheet!H6=0,"",(INPUT_sheet!H6)/1000)</f>
        <v>0.52</v>
      </c>
      <c r="F6" s="19">
        <f>IF(INPUT_sheet!I6=0,"",(INPUT_sheet!I6)/1000)</f>
        <v>0.55000000000000004</v>
      </c>
      <c r="G6" s="19">
        <f>IF(INPUT_sheet!J6=0,"",(INPUT_sheet!J6)/1000)</f>
        <v>0.77500000000000002</v>
      </c>
    </row>
    <row r="7" spans="1:7">
      <c r="A7" s="17">
        <f t="shared" si="0"/>
        <v>6</v>
      </c>
      <c r="B7" s="17" t="str">
        <f>IF(INPUT_sheet!$F7=0,"", IF(LEFT((INPUT_sheet!$F7),1)="(",RIGHT((INPUT_sheet!$F7),LEN(INPUT_sheet!$F7)-3), (INPUT_sheet!$F7)))</f>
        <v>CHD0250KCPF</v>
      </c>
      <c r="C7" s="17">
        <f>IF(INPUT_sheet!M7=0, "", INPUT_sheet!M7)</f>
        <v>50</v>
      </c>
      <c r="D7" s="24">
        <f>IF(INPUT_sheet!A7=0,"",INPUT_sheet!A7)</f>
        <v>201806210122</v>
      </c>
      <c r="E7" s="19">
        <f>IF(INPUT_sheet!H7=0,"",(INPUT_sheet!H7)/1000)</f>
        <v>0.6</v>
      </c>
      <c r="F7" s="19">
        <f>IF(INPUT_sheet!I7=0,"",(INPUT_sheet!I7)/1000)</f>
        <v>0.54</v>
      </c>
      <c r="G7" s="19">
        <f>IF(INPUT_sheet!J7=0,"",(INPUT_sheet!J7)/1000)</f>
        <v>0.84499999999999997</v>
      </c>
    </row>
    <row r="8" spans="1:7">
      <c r="A8" s="17" t="str">
        <f t="shared" si="0"/>
        <v/>
      </c>
      <c r="B8" s="17" t="str">
        <f>IF(INPUT_sheet!$F8=0,"", IF(LEFT((INPUT_sheet!$F8),1)="(",RIGHT((INPUT_sheet!$F8),LEN(INPUT_sheet!$F8)-3), (INPUT_sheet!$F8)))</f>
        <v/>
      </c>
      <c r="C8" s="17" t="str">
        <f>IF(INPUT_sheet!M8=0, "", INPUT_sheet!M8)</f>
        <v/>
      </c>
      <c r="D8" s="24" t="str">
        <f>IF(INPUT_sheet!A8=0,"",INPUT_sheet!A8)</f>
        <v/>
      </c>
      <c r="E8" s="19" t="str">
        <f>IF(INPUT_sheet!H8=0,"",(INPUT_sheet!H8)/1000)</f>
        <v/>
      </c>
      <c r="F8" s="19" t="str">
        <f>IF(INPUT_sheet!I8=0,"",(INPUT_sheet!I8)/1000)</f>
        <v/>
      </c>
      <c r="G8" s="19" t="str">
        <f>IF(INPUT_sheet!J8=0,"",(INPUT_sheet!J8)/1000)</f>
        <v/>
      </c>
    </row>
    <row r="9" spans="1:7">
      <c r="A9" s="17" t="str">
        <f t="shared" si="0"/>
        <v/>
      </c>
      <c r="B9" s="17" t="str">
        <f>IF(INPUT_sheet!$F9=0,"", IF(LEFT((INPUT_sheet!$F9),1)="(",RIGHT((INPUT_sheet!$F9),LEN(INPUT_sheet!$F9)-3), (INPUT_sheet!$F9)))</f>
        <v/>
      </c>
      <c r="C9" s="17" t="str">
        <f>IF(INPUT_sheet!M9=0, "", INPUT_sheet!M9)</f>
        <v/>
      </c>
      <c r="D9" s="24" t="str">
        <f>IF(INPUT_sheet!A9=0,"",INPUT_sheet!A9)</f>
        <v/>
      </c>
      <c r="E9" s="19" t="str">
        <f>IF(INPUT_sheet!H9=0,"",(INPUT_sheet!H9)/1000)</f>
        <v/>
      </c>
      <c r="F9" s="19" t="str">
        <f>IF(INPUT_sheet!I9=0,"",(INPUT_sheet!I9)/1000)</f>
        <v/>
      </c>
      <c r="G9" s="19" t="str">
        <f>IF(INPUT_sheet!J9=0,"",(INPUT_sheet!J9)/1000)</f>
        <v/>
      </c>
    </row>
    <row r="10" spans="1:7">
      <c r="A10" s="17" t="str">
        <f t="shared" si="0"/>
        <v/>
      </c>
      <c r="B10" s="17" t="str">
        <f>IF(INPUT_sheet!$F10=0,"", IF(LEFT((INPUT_sheet!$F10),1)="(",RIGHT((INPUT_sheet!$F10),LEN(INPUT_sheet!$F10)-3), (INPUT_sheet!$F10)))</f>
        <v/>
      </c>
      <c r="C10" s="17" t="str">
        <f>IF(INPUT_sheet!M10=0, "", INPUT_sheet!M10)</f>
        <v/>
      </c>
      <c r="D10" s="24" t="str">
        <f>IF(INPUT_sheet!A10=0,"",INPUT_sheet!A10)</f>
        <v/>
      </c>
      <c r="E10" s="19" t="str">
        <f>IF(INPUT_sheet!H10=0,"",(INPUT_sheet!H10)/1000)</f>
        <v/>
      </c>
      <c r="F10" s="19" t="str">
        <f>IF(INPUT_sheet!I10=0,"",(INPUT_sheet!I10)/1000)</f>
        <v/>
      </c>
      <c r="G10" s="19" t="str">
        <f>IF(INPUT_sheet!J10=0,"",(INPUT_sheet!J10)/1000)</f>
        <v/>
      </c>
    </row>
    <row r="11" spans="1:7">
      <c r="A11" s="17" t="str">
        <f t="shared" si="0"/>
        <v/>
      </c>
      <c r="B11" s="17" t="str">
        <f>IF(INPUT_sheet!$F11=0,"", IF(LEFT((INPUT_sheet!$F11),1)="(",RIGHT((INPUT_sheet!$F11),LEN(INPUT_sheet!$F11)-3), (INPUT_sheet!$F11)))</f>
        <v/>
      </c>
      <c r="C11" s="17" t="str">
        <f>IF(INPUT_sheet!M11=0, "", INPUT_sheet!M11)</f>
        <v/>
      </c>
      <c r="D11" s="24" t="str">
        <f>IF(INPUT_sheet!A11=0,"",INPUT_sheet!A11)</f>
        <v/>
      </c>
      <c r="E11" s="19" t="str">
        <f>IF(INPUT_sheet!H11=0,"",(INPUT_sheet!H11)/1000)</f>
        <v/>
      </c>
      <c r="F11" s="19" t="str">
        <f>IF(INPUT_sheet!I11=0,"",(INPUT_sheet!I11)/1000)</f>
        <v/>
      </c>
      <c r="G11" s="19" t="str">
        <f>IF(INPUT_sheet!J11=0,"",(INPUT_sheet!J11)/1000)</f>
        <v/>
      </c>
    </row>
    <row r="12" spans="1:7">
      <c r="A12" s="17" t="str">
        <f t="shared" si="0"/>
        <v/>
      </c>
      <c r="B12" s="17" t="str">
        <f>IF(INPUT_sheet!$F12=0,"", IF(LEFT((INPUT_sheet!$F12),1)="(",RIGHT((INPUT_sheet!$F12),LEN(INPUT_sheet!$F12)-3), (INPUT_sheet!$F12)))</f>
        <v/>
      </c>
      <c r="C12" s="17" t="str">
        <f>IF(INPUT_sheet!M12=0, "", INPUT_sheet!M12)</f>
        <v/>
      </c>
      <c r="D12" s="24" t="str">
        <f>IF(INPUT_sheet!A12=0,"",INPUT_sheet!A12)</f>
        <v/>
      </c>
      <c r="E12" s="19" t="str">
        <f>IF(INPUT_sheet!H12=0,"",(INPUT_sheet!H12)/1000)</f>
        <v/>
      </c>
      <c r="F12" s="19" t="str">
        <f>IF(INPUT_sheet!I12=0,"",(INPUT_sheet!I12)/1000)</f>
        <v/>
      </c>
      <c r="G12" s="19" t="str">
        <f>IF(INPUT_sheet!J12=0,"",(INPUT_sheet!J12)/1000)</f>
        <v/>
      </c>
    </row>
    <row r="13" spans="1:7">
      <c r="A13" s="17" t="str">
        <f t="shared" si="0"/>
        <v/>
      </c>
      <c r="B13" s="17" t="str">
        <f>IF(INPUT_sheet!$F13=0,"", IF(LEFT((INPUT_sheet!$F13),1)="(",RIGHT((INPUT_sheet!$F13),LEN(INPUT_sheet!$F13)-3), (INPUT_sheet!$F13)))</f>
        <v/>
      </c>
      <c r="C13" s="17" t="str">
        <f>IF(INPUT_sheet!M13=0, "", INPUT_sheet!M13)</f>
        <v/>
      </c>
      <c r="D13" s="24" t="str">
        <f>IF(INPUT_sheet!A13=0,"",INPUT_sheet!A13)</f>
        <v/>
      </c>
      <c r="E13" s="19" t="str">
        <f>IF(INPUT_sheet!H13=0,"",(INPUT_sheet!H13)/1000)</f>
        <v/>
      </c>
      <c r="F13" s="19" t="str">
        <f>IF(INPUT_sheet!I13=0,"",(INPUT_sheet!I13)/1000)</f>
        <v/>
      </c>
      <c r="G13" s="19" t="str">
        <f>IF(INPUT_sheet!J13=0,"",(INPUT_sheet!J13)/1000)</f>
        <v/>
      </c>
    </row>
    <row r="14" spans="1:7">
      <c r="A14" s="17" t="str">
        <f t="shared" si="0"/>
        <v/>
      </c>
      <c r="B14" s="17" t="str">
        <f>IF(INPUT_sheet!$F14=0,"", IF(LEFT((INPUT_sheet!$F14),1)="(",RIGHT((INPUT_sheet!$F14),LEN(INPUT_sheet!$F14)-3), (INPUT_sheet!$F14)))</f>
        <v/>
      </c>
      <c r="C14" s="17" t="str">
        <f>IF(INPUT_sheet!M14=0, "", INPUT_sheet!M14)</f>
        <v/>
      </c>
      <c r="D14" s="24" t="str">
        <f>IF(INPUT_sheet!A14=0,"",INPUT_sheet!A14)</f>
        <v/>
      </c>
      <c r="E14" s="19" t="str">
        <f>IF(INPUT_sheet!H14=0,"",(INPUT_sheet!H14)/1000)</f>
        <v/>
      </c>
      <c r="F14" s="19" t="str">
        <f>IF(INPUT_sheet!I14=0,"",(INPUT_sheet!I14)/1000)</f>
        <v/>
      </c>
      <c r="G14" s="19" t="str">
        <f>IF(INPUT_sheet!J14=0,"",(INPUT_sheet!J14)/1000)</f>
        <v/>
      </c>
    </row>
    <row r="15" spans="1:7">
      <c r="A15" s="17" t="str">
        <f t="shared" si="0"/>
        <v/>
      </c>
      <c r="B15" s="17" t="str">
        <f>IF(INPUT_sheet!$F15=0,"", IF(LEFT((INPUT_sheet!$F15),1)="(",RIGHT((INPUT_sheet!$F15),LEN(INPUT_sheet!$F15)-3), (INPUT_sheet!$F15)))</f>
        <v/>
      </c>
      <c r="C15" s="17" t="str">
        <f>IF(INPUT_sheet!M15=0, "", INPUT_sheet!M15)</f>
        <v/>
      </c>
      <c r="D15" s="24" t="str">
        <f>IF(INPUT_sheet!A15=0,"",INPUT_sheet!A15)</f>
        <v/>
      </c>
      <c r="E15" s="19" t="str">
        <f>IF(INPUT_sheet!H15=0,"",(INPUT_sheet!H15)/1000)</f>
        <v/>
      </c>
      <c r="F15" s="19" t="str">
        <f>IF(INPUT_sheet!I15=0,"",(INPUT_sheet!I15)/1000)</f>
        <v/>
      </c>
      <c r="G15" s="19" t="str">
        <f>IF(INPUT_sheet!J15=0,"",(INPUT_sheet!J15)/1000)</f>
        <v/>
      </c>
    </row>
    <row r="16" spans="1:7">
      <c r="A16" s="17" t="str">
        <f t="shared" si="0"/>
        <v/>
      </c>
      <c r="B16" s="17" t="str">
        <f>IF(INPUT_sheet!$F16=0,"", IF(LEFT((INPUT_sheet!$F16),1)="(",RIGHT((INPUT_sheet!$F16),LEN(INPUT_sheet!$F16)-3), (INPUT_sheet!$F16)))</f>
        <v/>
      </c>
      <c r="C16" s="17" t="str">
        <f>IF(INPUT_sheet!M16=0, "", INPUT_sheet!M16)</f>
        <v/>
      </c>
      <c r="D16" s="24" t="str">
        <f>IF(INPUT_sheet!A16=0,"",INPUT_sheet!A16)</f>
        <v/>
      </c>
      <c r="E16" s="19" t="str">
        <f>IF(INPUT_sheet!H16=0,"",(INPUT_sheet!H16)/1000)</f>
        <v/>
      </c>
      <c r="F16" s="19" t="str">
        <f>IF(INPUT_sheet!I16=0,"",(INPUT_sheet!I16)/1000)</f>
        <v/>
      </c>
      <c r="G16" s="19" t="str">
        <f>IF(INPUT_sheet!J16=0,"",(INPUT_sheet!J16)/1000)</f>
        <v/>
      </c>
    </row>
    <row r="17" spans="1:7">
      <c r="A17" s="17" t="str">
        <f t="shared" si="0"/>
        <v/>
      </c>
      <c r="B17" s="17" t="str">
        <f>IF(INPUT_sheet!$F17=0,"", IF(LEFT((INPUT_sheet!$F17),1)="(",RIGHT((INPUT_sheet!$F17),LEN(INPUT_sheet!$F17)-3), (INPUT_sheet!$F17)))</f>
        <v/>
      </c>
      <c r="C17" s="17" t="str">
        <f>IF(INPUT_sheet!M17=0, "", INPUT_sheet!M17)</f>
        <v/>
      </c>
      <c r="D17" s="24" t="str">
        <f>IF(INPUT_sheet!A17=0,"",INPUT_sheet!A17)</f>
        <v/>
      </c>
      <c r="E17" s="19" t="str">
        <f>IF(INPUT_sheet!H17=0,"",(INPUT_sheet!H17)/1000)</f>
        <v/>
      </c>
      <c r="F17" s="19" t="str">
        <f>IF(INPUT_sheet!I17=0,"",(INPUT_sheet!I17)/1000)</f>
        <v/>
      </c>
      <c r="G17" s="19" t="str">
        <f>IF(INPUT_sheet!J17=0,"",(INPUT_sheet!J17)/1000)</f>
        <v/>
      </c>
    </row>
    <row r="18" spans="1:7">
      <c r="A18" s="17" t="str">
        <f t="shared" si="0"/>
        <v/>
      </c>
      <c r="B18" s="17" t="str">
        <f>IF(INPUT_sheet!$F18=0,"", IF(LEFT((INPUT_sheet!$F18),1)="(",RIGHT((INPUT_sheet!$F18),LEN(INPUT_sheet!$F18)-3), (INPUT_sheet!$F18)))</f>
        <v/>
      </c>
      <c r="C18" s="17" t="str">
        <f>IF(INPUT_sheet!M18=0, "", INPUT_sheet!M18)</f>
        <v/>
      </c>
      <c r="D18" s="24" t="str">
        <f>IF(INPUT_sheet!A18=0,"",INPUT_sheet!A18)</f>
        <v/>
      </c>
      <c r="E18" s="19" t="str">
        <f>IF(INPUT_sheet!H18=0,"",(INPUT_sheet!H18)/1000)</f>
        <v/>
      </c>
      <c r="F18" s="19" t="str">
        <f>IF(INPUT_sheet!I18=0,"",(INPUT_sheet!I18)/1000)</f>
        <v/>
      </c>
      <c r="G18" s="19" t="str">
        <f>IF(INPUT_sheet!J18=0,"",(INPUT_sheet!J18)/1000)</f>
        <v/>
      </c>
    </row>
    <row r="19" spans="1:7">
      <c r="A19" s="17" t="str">
        <f t="shared" si="0"/>
        <v/>
      </c>
      <c r="B19" s="17" t="str">
        <f>IF(INPUT_sheet!$F19=0,"", IF(LEFT((INPUT_sheet!$F19),1)="(",RIGHT((INPUT_sheet!$F19),LEN(INPUT_sheet!$F19)-3), (INPUT_sheet!$F19)))</f>
        <v/>
      </c>
      <c r="C19" s="17" t="str">
        <f>IF(INPUT_sheet!M19=0, "", INPUT_sheet!M19)</f>
        <v/>
      </c>
      <c r="D19" s="24" t="str">
        <f>IF(INPUT_sheet!A19=0,"",INPUT_sheet!A19)</f>
        <v/>
      </c>
      <c r="E19" s="19" t="str">
        <f>IF(INPUT_sheet!H19=0,"",(INPUT_sheet!H19)/1000)</f>
        <v/>
      </c>
      <c r="F19" s="19" t="str">
        <f>IF(INPUT_sheet!I19=0,"",(INPUT_sheet!I19)/1000)</f>
        <v/>
      </c>
      <c r="G19" s="19" t="str">
        <f>IF(INPUT_sheet!J19=0,"",(INPUT_sheet!J19)/1000)</f>
        <v/>
      </c>
    </row>
    <row r="20" spans="1:7">
      <c r="A20" s="17" t="str">
        <f t="shared" si="0"/>
        <v/>
      </c>
      <c r="B20" s="17" t="str">
        <f>IF(INPUT_sheet!$F20=0,"", IF(LEFT((INPUT_sheet!$F20),1)="(",RIGHT((INPUT_sheet!$F20),LEN(INPUT_sheet!$F20)-3), (INPUT_sheet!$F20)))</f>
        <v/>
      </c>
      <c r="C20" s="17" t="str">
        <f>IF(INPUT_sheet!M20=0, "", INPUT_sheet!M20)</f>
        <v/>
      </c>
      <c r="D20" s="24" t="str">
        <f>IF(INPUT_sheet!A20=0,"",INPUT_sheet!A20)</f>
        <v/>
      </c>
      <c r="E20" s="19" t="str">
        <f>IF(INPUT_sheet!H20=0,"",(INPUT_sheet!H20)/1000)</f>
        <v/>
      </c>
      <c r="F20" s="19" t="str">
        <f>IF(INPUT_sheet!I20=0,"",(INPUT_sheet!I20)/1000)</f>
        <v/>
      </c>
      <c r="G20" s="19" t="str">
        <f>IF(INPUT_sheet!J20=0,"",(INPUT_sheet!J20)/1000)</f>
        <v/>
      </c>
    </row>
    <row r="21" spans="1:7">
      <c r="A21" s="17" t="str">
        <f t="shared" si="0"/>
        <v/>
      </c>
      <c r="B21" s="17" t="str">
        <f>IF(INPUT_sheet!$F21=0,"", IF(LEFT((INPUT_sheet!$F21),1)="(",RIGHT((INPUT_sheet!$F21),LEN(INPUT_sheet!$F21)-3), (INPUT_sheet!$F21)))</f>
        <v/>
      </c>
      <c r="C21" s="17" t="str">
        <f>IF(INPUT_sheet!M21=0, "", INPUT_sheet!M21)</f>
        <v/>
      </c>
      <c r="D21" s="24" t="str">
        <f>IF(INPUT_sheet!A21=0,"",INPUT_sheet!A21)</f>
        <v/>
      </c>
      <c r="E21" s="19" t="str">
        <f>IF(INPUT_sheet!H21=0,"",(INPUT_sheet!H21)/1000)</f>
        <v/>
      </c>
      <c r="F21" s="19" t="str">
        <f>IF(INPUT_sheet!I21=0,"",(INPUT_sheet!I21)/1000)</f>
        <v/>
      </c>
      <c r="G21" s="19" t="str">
        <f>IF(INPUT_sheet!J21=0,"",(INPUT_sheet!J21)/1000)</f>
        <v/>
      </c>
    </row>
    <row r="22" spans="1:7">
      <c r="A22" s="17" t="str">
        <f t="shared" si="0"/>
        <v/>
      </c>
      <c r="B22" s="17" t="str">
        <f>IF(INPUT_sheet!$F22=0,"", IF(LEFT((INPUT_sheet!$F22),1)="(",RIGHT((INPUT_sheet!$F22),LEN(INPUT_sheet!$F22)-3), (INPUT_sheet!$F22)))</f>
        <v/>
      </c>
      <c r="C22" s="17" t="str">
        <f>IF(INPUT_sheet!M22=0, "", INPUT_sheet!M22)</f>
        <v/>
      </c>
      <c r="D22" s="24" t="str">
        <f>IF(INPUT_sheet!A22=0,"",INPUT_sheet!A22)</f>
        <v/>
      </c>
      <c r="E22" s="19" t="str">
        <f>IF(INPUT_sheet!H22=0,"",(INPUT_sheet!H22)/1000)</f>
        <v/>
      </c>
      <c r="F22" s="19" t="str">
        <f>IF(INPUT_sheet!I22=0,"",(INPUT_sheet!I22)/1000)</f>
        <v/>
      </c>
      <c r="G22" s="19" t="str">
        <f>IF(INPUT_sheet!J22=0,"",(INPUT_sheet!J22)/1000)</f>
        <v/>
      </c>
    </row>
    <row r="23" spans="1:7">
      <c r="A23" s="17" t="str">
        <f t="shared" si="0"/>
        <v/>
      </c>
      <c r="B23" s="17" t="str">
        <f>IF(INPUT_sheet!$F23=0,"", IF(LEFT((INPUT_sheet!$F23),1)="(",RIGHT((INPUT_sheet!$F23),LEN(INPUT_sheet!$F23)-3), (INPUT_sheet!$F23)))</f>
        <v/>
      </c>
      <c r="C23" s="17" t="str">
        <f>IF(INPUT_sheet!M23=0, "", INPUT_sheet!M23)</f>
        <v/>
      </c>
      <c r="D23" s="24" t="str">
        <f>IF(INPUT_sheet!A23=0,"",INPUT_sheet!A23)</f>
        <v/>
      </c>
      <c r="E23" s="19" t="str">
        <f>IF(INPUT_sheet!H23=0,"",(INPUT_sheet!H23)/1000)</f>
        <v/>
      </c>
      <c r="F23" s="19" t="str">
        <f>IF(INPUT_sheet!I23=0,"",(INPUT_sheet!I23)/1000)</f>
        <v/>
      </c>
      <c r="G23" s="19" t="str">
        <f>IF(INPUT_sheet!J23=0,"",(INPUT_sheet!J23)/1000)</f>
        <v/>
      </c>
    </row>
    <row r="24" spans="1:7">
      <c r="A24" s="17" t="str">
        <f t="shared" si="0"/>
        <v/>
      </c>
      <c r="B24" s="17" t="str">
        <f>IF(INPUT_sheet!$F24=0,"", IF(LEFT((INPUT_sheet!$F24),1)="(",RIGHT((INPUT_sheet!$F24),LEN(INPUT_sheet!$F24)-3), (INPUT_sheet!$F24)))</f>
        <v/>
      </c>
      <c r="C24" s="17" t="str">
        <f>IF(INPUT_sheet!M24=0, "", INPUT_sheet!M24)</f>
        <v/>
      </c>
      <c r="D24" s="24" t="str">
        <f>IF(INPUT_sheet!A24=0,"",INPUT_sheet!A24)</f>
        <v/>
      </c>
      <c r="E24" s="19" t="str">
        <f>IF(INPUT_sheet!H24=0,"",(INPUT_sheet!H24)/1000)</f>
        <v/>
      </c>
      <c r="F24" s="19" t="str">
        <f>IF(INPUT_sheet!I24=0,"",(INPUT_sheet!I24)/1000)</f>
        <v/>
      </c>
      <c r="G24" s="19" t="str">
        <f>IF(INPUT_sheet!J24=0,"",(INPUT_sheet!J24)/1000)</f>
        <v/>
      </c>
    </row>
    <row r="25" spans="1:7">
      <c r="A25" s="17" t="str">
        <f t="shared" si="0"/>
        <v/>
      </c>
      <c r="B25" s="17" t="str">
        <f>IF(INPUT_sheet!$F25=0,"", IF(LEFT((INPUT_sheet!$F25),1)="(",RIGHT((INPUT_sheet!$F25),LEN(INPUT_sheet!$F25)-3), (INPUT_sheet!$F25)))</f>
        <v/>
      </c>
      <c r="C25" s="17" t="str">
        <f>IF(INPUT_sheet!M25=0, "", INPUT_sheet!M25)</f>
        <v/>
      </c>
      <c r="D25" s="24" t="str">
        <f>IF(INPUT_sheet!A25=0,"",INPUT_sheet!A25)</f>
        <v/>
      </c>
      <c r="E25" s="19" t="str">
        <f>IF(INPUT_sheet!H25=0,"",(INPUT_sheet!H25)/1000)</f>
        <v/>
      </c>
      <c r="F25" s="19" t="str">
        <f>IF(INPUT_sheet!I25=0,"",(INPUT_sheet!I25)/1000)</f>
        <v/>
      </c>
      <c r="G25" s="19" t="str">
        <f>IF(INPUT_sheet!J25=0,"",(INPUT_sheet!J25)/1000)</f>
        <v/>
      </c>
    </row>
    <row r="26" spans="1:7">
      <c r="A26" s="17" t="str">
        <f t="shared" si="0"/>
        <v/>
      </c>
      <c r="B26" s="17" t="str">
        <f>IF(INPUT_sheet!$F26=0,"", IF(LEFT((INPUT_sheet!$F26),1)="(",RIGHT((INPUT_sheet!$F26),LEN(INPUT_sheet!$F26)-3), (INPUT_sheet!$F26)))</f>
        <v/>
      </c>
      <c r="C26" s="17" t="str">
        <f>IF(INPUT_sheet!M26=0, "", INPUT_sheet!M26)</f>
        <v/>
      </c>
      <c r="D26" s="24" t="str">
        <f>IF(INPUT_sheet!A26=0,"",INPUT_sheet!A26)</f>
        <v/>
      </c>
      <c r="E26" s="19" t="str">
        <f>IF(INPUT_sheet!H26=0,"",(INPUT_sheet!H26)/1000)</f>
        <v/>
      </c>
      <c r="F26" s="19" t="str">
        <f>IF(INPUT_sheet!I26=0,"",(INPUT_sheet!I26)/1000)</f>
        <v/>
      </c>
      <c r="G26" s="19" t="str">
        <f>IF(INPUT_sheet!J26=0,"",(INPUT_sheet!J26)/1000)</f>
        <v/>
      </c>
    </row>
    <row r="27" spans="1:7">
      <c r="A27" s="17" t="str">
        <f t="shared" si="0"/>
        <v/>
      </c>
      <c r="B27" s="17" t="str">
        <f>IF(INPUT_sheet!$F27=0,"", IF(LEFT((INPUT_sheet!$F27),1)="(",RIGHT((INPUT_sheet!$F27),LEN(INPUT_sheet!$F27)-3), (INPUT_sheet!$F27)))</f>
        <v/>
      </c>
      <c r="C27" s="17" t="str">
        <f>IF(INPUT_sheet!M27=0, "", INPUT_sheet!M27)</f>
        <v/>
      </c>
      <c r="D27" s="24" t="str">
        <f>IF(INPUT_sheet!A27=0,"",INPUT_sheet!A27)</f>
        <v/>
      </c>
      <c r="E27" s="19" t="str">
        <f>IF(INPUT_sheet!H27=0,"",(INPUT_sheet!H27)/1000)</f>
        <v/>
      </c>
      <c r="F27" s="19" t="str">
        <f>IF(INPUT_sheet!I27=0,"",(INPUT_sheet!I27)/1000)</f>
        <v/>
      </c>
      <c r="G27" s="19" t="str">
        <f>IF(INPUT_sheet!J27=0,"",(INPUT_sheet!J27)/1000)</f>
        <v/>
      </c>
    </row>
    <row r="28" spans="1:7">
      <c r="A28" s="17" t="str">
        <f t="shared" si="0"/>
        <v/>
      </c>
      <c r="B28" s="17" t="str">
        <f>IF(INPUT_sheet!$F28=0,"", IF(LEFT((INPUT_sheet!$F28),1)="(",RIGHT((INPUT_sheet!$F28),LEN(INPUT_sheet!$F28)-3), (INPUT_sheet!$F28)))</f>
        <v/>
      </c>
      <c r="C28" s="17" t="str">
        <f>IF(INPUT_sheet!M28=0, "", INPUT_sheet!M28)</f>
        <v/>
      </c>
      <c r="D28" s="24" t="str">
        <f>IF(INPUT_sheet!A28=0,"",INPUT_sheet!A28)</f>
        <v/>
      </c>
      <c r="E28" s="19" t="str">
        <f>IF(INPUT_sheet!H28=0,"",(INPUT_sheet!H28)/1000)</f>
        <v/>
      </c>
      <c r="F28" s="19" t="str">
        <f>IF(INPUT_sheet!I28=0,"",(INPUT_sheet!I28)/1000)</f>
        <v/>
      </c>
      <c r="G28" s="19" t="str">
        <f>IF(INPUT_sheet!J28=0,"",(INPUT_sheet!J28)/1000)</f>
        <v/>
      </c>
    </row>
    <row r="29" spans="1:7">
      <c r="A29" s="17" t="str">
        <f t="shared" si="0"/>
        <v/>
      </c>
      <c r="B29" s="17" t="str">
        <f>IF(INPUT_sheet!$F29=0,"", IF(LEFT((INPUT_sheet!$F29),1)="(",RIGHT((INPUT_sheet!$F29),LEN(INPUT_sheet!$F29)-3), (INPUT_sheet!$F29)))</f>
        <v/>
      </c>
      <c r="C29" s="17" t="str">
        <f>IF(INPUT_sheet!M29=0, "", INPUT_sheet!M29)</f>
        <v/>
      </c>
      <c r="D29" s="24" t="str">
        <f>IF(INPUT_sheet!A29=0,"",INPUT_sheet!A29)</f>
        <v/>
      </c>
      <c r="E29" s="19" t="str">
        <f>IF(INPUT_sheet!H29=0,"",(INPUT_sheet!H29)/1000)</f>
        <v/>
      </c>
      <c r="F29" s="19" t="str">
        <f>IF(INPUT_sheet!I29=0,"",(INPUT_sheet!I29)/1000)</f>
        <v/>
      </c>
      <c r="G29" s="19" t="str">
        <f>IF(INPUT_sheet!J29=0,"",(INPUT_sheet!J29)/1000)</f>
        <v/>
      </c>
    </row>
    <row r="30" spans="1:7">
      <c r="A30" s="17" t="str">
        <f t="shared" si="0"/>
        <v/>
      </c>
      <c r="B30" s="17" t="str">
        <f>IF(INPUT_sheet!$F30=0,"", IF(LEFT((INPUT_sheet!$F30),1)="(",RIGHT((INPUT_sheet!$F30),LEN(INPUT_sheet!$F30)-3), (INPUT_sheet!$F30)))</f>
        <v/>
      </c>
      <c r="C30" s="17" t="str">
        <f>IF(INPUT_sheet!M30=0, "", INPUT_sheet!M30)</f>
        <v/>
      </c>
      <c r="D30" s="24" t="str">
        <f>IF(INPUT_sheet!A30=0,"",INPUT_sheet!A30)</f>
        <v/>
      </c>
      <c r="E30" s="19" t="str">
        <f>IF(INPUT_sheet!H30=0,"",(INPUT_sheet!H30)/1000)</f>
        <v/>
      </c>
      <c r="F30" s="19" t="str">
        <f>IF(INPUT_sheet!I30=0,"",(INPUT_sheet!I30)/1000)</f>
        <v/>
      </c>
      <c r="G30" s="19" t="str">
        <f>IF(INPUT_sheet!J30=0,"",(INPUT_sheet!J30)/1000)</f>
        <v/>
      </c>
    </row>
    <row r="31" spans="1:7">
      <c r="A31" s="17" t="str">
        <f t="shared" si="0"/>
        <v/>
      </c>
      <c r="B31" s="17" t="str">
        <f>IF(INPUT_sheet!$F31=0,"", IF(LEFT((INPUT_sheet!$F31),1)="(",RIGHT((INPUT_sheet!$F31),LEN(INPUT_sheet!$F31)-3), (INPUT_sheet!$F31)))</f>
        <v/>
      </c>
      <c r="C31" s="17" t="str">
        <f>IF(INPUT_sheet!M31=0, "", INPUT_sheet!M31)</f>
        <v/>
      </c>
      <c r="D31" s="24" t="str">
        <f>IF(INPUT_sheet!A31=0,"",INPUT_sheet!A31)</f>
        <v/>
      </c>
      <c r="E31" s="19" t="str">
        <f>IF(INPUT_sheet!H31=0,"",(INPUT_sheet!H31)/1000)</f>
        <v/>
      </c>
      <c r="F31" s="19" t="str">
        <f>IF(INPUT_sheet!I31=0,"",(INPUT_sheet!I31)/1000)</f>
        <v/>
      </c>
      <c r="G31" s="19" t="str">
        <f>IF(INPUT_sheet!J31=0,"",(INPUT_sheet!J31)/1000)</f>
        <v/>
      </c>
    </row>
    <row r="32" spans="1:7">
      <c r="A32" s="17" t="str">
        <f t="shared" si="0"/>
        <v/>
      </c>
      <c r="B32" s="17" t="str">
        <f>IF(INPUT_sheet!$F32=0,"", IF(LEFT((INPUT_sheet!$F32),1)="(",RIGHT((INPUT_sheet!$F32),LEN(INPUT_sheet!$F32)-3), (INPUT_sheet!$F32)))</f>
        <v/>
      </c>
      <c r="C32" s="17" t="str">
        <f>IF(INPUT_sheet!M32=0, "", INPUT_sheet!M32)</f>
        <v/>
      </c>
      <c r="D32" s="24" t="str">
        <f>IF(INPUT_sheet!A32=0,"",INPUT_sheet!A32)</f>
        <v/>
      </c>
      <c r="E32" s="19" t="str">
        <f>IF(INPUT_sheet!H32=0,"",(INPUT_sheet!H32)/1000)</f>
        <v/>
      </c>
      <c r="F32" s="19" t="str">
        <f>IF(INPUT_sheet!I32=0,"",(INPUT_sheet!I32)/1000)</f>
        <v/>
      </c>
      <c r="G32" s="19" t="str">
        <f>IF(INPUT_sheet!J32=0,"",(INPUT_sheet!J32)/1000)</f>
        <v/>
      </c>
    </row>
    <row r="33" spans="1:7">
      <c r="A33" s="17" t="str">
        <f t="shared" si="0"/>
        <v/>
      </c>
      <c r="B33" s="17" t="str">
        <f>IF(INPUT_sheet!$F33=0,"", IF(LEFT((INPUT_sheet!$F33),1)="(",RIGHT((INPUT_sheet!$F33),LEN(INPUT_sheet!$F33)-3), (INPUT_sheet!$F33)))</f>
        <v/>
      </c>
      <c r="C33" s="17" t="str">
        <f>IF(INPUT_sheet!M33=0, "", INPUT_sheet!M33)</f>
        <v/>
      </c>
      <c r="D33" s="24" t="str">
        <f>IF(INPUT_sheet!A33=0,"",INPUT_sheet!A33)</f>
        <v/>
      </c>
      <c r="E33" s="19" t="str">
        <f>IF(INPUT_sheet!H33=0,"",(INPUT_sheet!H33)/1000)</f>
        <v/>
      </c>
      <c r="F33" s="19" t="str">
        <f>IF(INPUT_sheet!I33=0,"",(INPUT_sheet!I33)/1000)</f>
        <v/>
      </c>
      <c r="G33" s="19" t="str">
        <f>IF(INPUT_sheet!J33=0,"",(INPUT_sheet!J33)/1000)</f>
        <v/>
      </c>
    </row>
    <row r="34" spans="1:7">
      <c r="A34" s="17" t="str">
        <f t="shared" si="0"/>
        <v/>
      </c>
      <c r="B34" s="17" t="str">
        <f>IF(INPUT_sheet!$F34=0,"", IF(LEFT((INPUT_sheet!$F34),1)="(",RIGHT((INPUT_sheet!$F34),LEN(INPUT_sheet!$F34)-3), (INPUT_sheet!$F34)))</f>
        <v/>
      </c>
      <c r="C34" s="17" t="str">
        <f>IF(INPUT_sheet!M34=0, "", INPUT_sheet!M34)</f>
        <v/>
      </c>
      <c r="D34" s="24" t="str">
        <f>IF(INPUT_sheet!A34=0,"",INPUT_sheet!A34)</f>
        <v/>
      </c>
      <c r="E34" s="19" t="str">
        <f>IF(INPUT_sheet!H34=0,"",(INPUT_sheet!H34)/1000)</f>
        <v/>
      </c>
      <c r="F34" s="19" t="str">
        <f>IF(INPUT_sheet!I34=0,"",(INPUT_sheet!I34)/1000)</f>
        <v/>
      </c>
      <c r="G34" s="19" t="str">
        <f>IF(INPUT_sheet!J34=0,"",(INPUT_sheet!J34)/1000)</f>
        <v/>
      </c>
    </row>
    <row r="35" spans="1:7">
      <c r="A35" s="17" t="str">
        <f t="shared" si="0"/>
        <v/>
      </c>
      <c r="B35" s="17" t="str">
        <f>IF(INPUT_sheet!$F35=0,"", IF(LEFT((INPUT_sheet!$F35),1)="(",RIGHT((INPUT_sheet!$F35),LEN(INPUT_sheet!$F35)-3), (INPUT_sheet!$F35)))</f>
        <v/>
      </c>
      <c r="C35" s="17" t="str">
        <f>IF(INPUT_sheet!M35=0, "", INPUT_sheet!M35)</f>
        <v/>
      </c>
      <c r="D35" s="24" t="str">
        <f>IF(INPUT_sheet!A35=0,"",INPUT_sheet!A35)</f>
        <v/>
      </c>
      <c r="E35" s="19" t="str">
        <f>IF(INPUT_sheet!H35=0,"",(INPUT_sheet!H35)/1000)</f>
        <v/>
      </c>
      <c r="F35" s="19" t="str">
        <f>IF(INPUT_sheet!I35=0,"",(INPUT_sheet!I35)/1000)</f>
        <v/>
      </c>
      <c r="G35" s="19" t="str">
        <f>IF(INPUT_sheet!J35=0,"",(INPUT_sheet!J35)/1000)</f>
        <v/>
      </c>
    </row>
    <row r="36" spans="1:7">
      <c r="A36" s="17" t="str">
        <f t="shared" si="0"/>
        <v/>
      </c>
      <c r="B36" s="17" t="str">
        <f>IF(INPUT_sheet!$F36=0,"", IF(LEFT((INPUT_sheet!$F36),1)="(",RIGHT((INPUT_sheet!$F36),LEN(INPUT_sheet!$F36)-3), (INPUT_sheet!$F36)))</f>
        <v/>
      </c>
      <c r="C36" s="17" t="str">
        <f>IF(INPUT_sheet!M36=0, "", INPUT_sheet!M36)</f>
        <v/>
      </c>
      <c r="D36" s="24" t="str">
        <f>IF(INPUT_sheet!A36=0,"",INPUT_sheet!A36)</f>
        <v/>
      </c>
      <c r="E36" s="19" t="str">
        <f>IF(INPUT_sheet!H36=0,"",(INPUT_sheet!H36)/1000)</f>
        <v/>
      </c>
      <c r="F36" s="19" t="str">
        <f>IF(INPUT_sheet!I36=0,"",(INPUT_sheet!I36)/1000)</f>
        <v/>
      </c>
      <c r="G36" s="19" t="str">
        <f>IF(INPUT_sheet!J36=0,"",(INPUT_sheet!J36)/1000)</f>
        <v/>
      </c>
    </row>
    <row r="37" spans="1:7">
      <c r="A37" s="17" t="str">
        <f t="shared" si="0"/>
        <v/>
      </c>
      <c r="B37" s="17" t="str">
        <f>IF(INPUT_sheet!$F37=0,"", IF(LEFT((INPUT_sheet!$F37),1)="(",RIGHT((INPUT_sheet!$F37),LEN(INPUT_sheet!$F37)-3), (INPUT_sheet!$F37)))</f>
        <v/>
      </c>
      <c r="C37" s="17" t="str">
        <f>IF(INPUT_sheet!M37=0, "", INPUT_sheet!M37)</f>
        <v/>
      </c>
      <c r="D37" s="24" t="str">
        <f>IF(INPUT_sheet!A37=0,"",INPUT_sheet!A37)</f>
        <v/>
      </c>
      <c r="E37" s="19" t="str">
        <f>IF(INPUT_sheet!H37=0,"",(INPUT_sheet!H37)/1000)</f>
        <v/>
      </c>
      <c r="F37" s="19" t="str">
        <f>IF(INPUT_sheet!I37=0,"",(INPUT_sheet!I37)/1000)</f>
        <v/>
      </c>
      <c r="G37" s="19" t="str">
        <f>IF(INPUT_sheet!J37=0,"",(INPUT_sheet!J37)/1000)</f>
        <v/>
      </c>
    </row>
    <row r="38" spans="1:7">
      <c r="A38" s="17" t="str">
        <f t="shared" si="0"/>
        <v/>
      </c>
      <c r="B38" s="17" t="str">
        <f>IF(INPUT_sheet!$F38=0,"", IF(LEFT((INPUT_sheet!$F38),1)="(",RIGHT((INPUT_sheet!$F38),LEN(INPUT_sheet!$F38)-3), (INPUT_sheet!$F38)))</f>
        <v/>
      </c>
      <c r="C38" s="17" t="str">
        <f>IF(INPUT_sheet!M38=0, "", INPUT_sheet!M38)</f>
        <v/>
      </c>
      <c r="D38" s="24" t="str">
        <f>IF(INPUT_sheet!A38=0,"",INPUT_sheet!A38)</f>
        <v/>
      </c>
      <c r="E38" s="19" t="str">
        <f>IF(INPUT_sheet!H38=0,"",(INPUT_sheet!H38)/1000)</f>
        <v/>
      </c>
      <c r="F38" s="19" t="str">
        <f>IF(INPUT_sheet!I38=0,"",(INPUT_sheet!I38)/1000)</f>
        <v/>
      </c>
      <c r="G38" s="19" t="str">
        <f>IF(INPUT_sheet!J38=0,"",(INPUT_sheet!J38)/1000)</f>
        <v/>
      </c>
    </row>
    <row r="39" spans="1:7">
      <c r="A39" s="17" t="str">
        <f t="shared" si="0"/>
        <v/>
      </c>
      <c r="B39" s="17" t="str">
        <f>IF(INPUT_sheet!$F39=0,"", IF(LEFT((INPUT_sheet!$F39),1)="(",RIGHT((INPUT_sheet!$F39),LEN(INPUT_sheet!$F39)-3), (INPUT_sheet!$F39)))</f>
        <v/>
      </c>
      <c r="C39" s="17" t="str">
        <f>IF(INPUT_sheet!M39=0, "", INPUT_sheet!M39)</f>
        <v/>
      </c>
      <c r="D39" s="24" t="str">
        <f>IF(INPUT_sheet!A39=0,"",INPUT_sheet!A39)</f>
        <v/>
      </c>
      <c r="E39" s="19" t="str">
        <f>IF(INPUT_sheet!H39=0,"",(INPUT_sheet!H39)/1000)</f>
        <v/>
      </c>
      <c r="F39" s="19" t="str">
        <f>IF(INPUT_sheet!I39=0,"",(INPUT_sheet!I39)/1000)</f>
        <v/>
      </c>
      <c r="G39" s="19" t="str">
        <f>IF(INPUT_sheet!J39=0,"",(INPUT_sheet!J39)/1000)</f>
        <v/>
      </c>
    </row>
    <row r="40" spans="1:7">
      <c r="A40" s="17" t="str">
        <f t="shared" si="0"/>
        <v/>
      </c>
      <c r="B40" s="17" t="str">
        <f>IF(INPUT_sheet!$F40=0,"", IF(LEFT((INPUT_sheet!$F40),1)="(",RIGHT((INPUT_sheet!$F40),LEN(INPUT_sheet!$F40)-3), (INPUT_sheet!$F40)))</f>
        <v/>
      </c>
      <c r="C40" s="17" t="str">
        <f>IF(INPUT_sheet!M40=0, "", INPUT_sheet!M40)</f>
        <v/>
      </c>
      <c r="D40" s="24" t="str">
        <f>IF(INPUT_sheet!A40=0,"",INPUT_sheet!A40)</f>
        <v/>
      </c>
      <c r="E40" s="19" t="str">
        <f>IF(INPUT_sheet!H40=0,"",(INPUT_sheet!H40)/1000)</f>
        <v/>
      </c>
      <c r="F40" s="19" t="str">
        <f>IF(INPUT_sheet!I40=0,"",(INPUT_sheet!I40)/1000)</f>
        <v/>
      </c>
      <c r="G40" s="19" t="str">
        <f>IF(INPUT_sheet!J40=0,"",(INPUT_sheet!J40)/1000)</f>
        <v/>
      </c>
    </row>
    <row r="41" spans="1:7">
      <c r="A41" s="17" t="str">
        <f t="shared" si="0"/>
        <v/>
      </c>
      <c r="B41" s="17" t="str">
        <f>IF(INPUT_sheet!$F41=0,"", IF(LEFT((INPUT_sheet!$F41),1)="(",RIGHT((INPUT_sheet!$F41),LEN(INPUT_sheet!$F41)-3), (INPUT_sheet!$F41)))</f>
        <v/>
      </c>
      <c r="C41" s="17" t="str">
        <f>IF(INPUT_sheet!M41=0, "", INPUT_sheet!M41)</f>
        <v/>
      </c>
      <c r="D41" s="24" t="str">
        <f>IF(INPUT_sheet!A41=0,"",INPUT_sheet!A41)</f>
        <v/>
      </c>
      <c r="E41" s="19" t="str">
        <f>IF(INPUT_sheet!H41=0,"",(INPUT_sheet!H41)/1000)</f>
        <v/>
      </c>
      <c r="F41" s="19" t="str">
        <f>IF(INPUT_sheet!I41=0,"",(INPUT_sheet!I41)/1000)</f>
        <v/>
      </c>
      <c r="G41" s="19" t="str">
        <f>IF(INPUT_sheet!J41=0,"",(INPUT_sheet!J41)/1000)</f>
        <v/>
      </c>
    </row>
    <row r="42" spans="1:7">
      <c r="A42" s="17" t="str">
        <f t="shared" si="0"/>
        <v/>
      </c>
      <c r="B42" s="17" t="str">
        <f>IF(INPUT_sheet!$F42=0,"", IF(LEFT((INPUT_sheet!$F42),1)="(",RIGHT((INPUT_sheet!$F42),LEN(INPUT_sheet!$F42)-3), (INPUT_sheet!$F42)))</f>
        <v/>
      </c>
      <c r="C42" s="17" t="str">
        <f>IF(INPUT_sheet!M42=0, "", INPUT_sheet!M42)</f>
        <v/>
      </c>
      <c r="D42" s="24" t="str">
        <f>IF(INPUT_sheet!A42=0,"",INPUT_sheet!A42)</f>
        <v/>
      </c>
      <c r="E42" s="19" t="str">
        <f>IF(INPUT_sheet!H42=0,"",(INPUT_sheet!H42)/1000)</f>
        <v/>
      </c>
      <c r="F42" s="19" t="str">
        <f>IF(INPUT_sheet!I42=0,"",(INPUT_sheet!I42)/1000)</f>
        <v/>
      </c>
      <c r="G42" s="19" t="str">
        <f>IF(INPUT_sheet!J42=0,"",(INPUT_sheet!J42)/1000)</f>
        <v/>
      </c>
    </row>
    <row r="43" spans="1:7">
      <c r="A43" s="17" t="str">
        <f t="shared" si="0"/>
        <v/>
      </c>
      <c r="B43" s="17" t="str">
        <f>IF(INPUT_sheet!$F43=0,"", IF(LEFT((INPUT_sheet!$F43),1)="(",RIGHT((INPUT_sheet!$F43),LEN(INPUT_sheet!$F43)-3), (INPUT_sheet!$F43)))</f>
        <v/>
      </c>
      <c r="C43" s="17" t="str">
        <f>IF(INPUT_sheet!M43=0, "", INPUT_sheet!M43)</f>
        <v/>
      </c>
      <c r="D43" s="24" t="str">
        <f>IF(INPUT_sheet!A43=0,"",INPUT_sheet!A43)</f>
        <v/>
      </c>
      <c r="E43" s="19" t="str">
        <f>IF(INPUT_sheet!H43=0,"",(INPUT_sheet!H43)/1000)</f>
        <v/>
      </c>
      <c r="F43" s="19" t="str">
        <f>IF(INPUT_sheet!I43=0,"",(INPUT_sheet!I43)/1000)</f>
        <v/>
      </c>
      <c r="G43" s="19" t="str">
        <f>IF(INPUT_sheet!J43=0,"",(INPUT_sheet!J43)/1000)</f>
        <v/>
      </c>
    </row>
    <row r="44" spans="1:7">
      <c r="A44" s="17" t="str">
        <f t="shared" si="0"/>
        <v/>
      </c>
      <c r="B44" s="17" t="str">
        <f>IF(INPUT_sheet!$F44=0,"", IF(LEFT((INPUT_sheet!$F44),1)="(",RIGHT((INPUT_sheet!$F44),LEN(INPUT_sheet!$F44)-3), (INPUT_sheet!$F44)))</f>
        <v/>
      </c>
      <c r="C44" s="17" t="str">
        <f>IF(INPUT_sheet!M44=0, "", INPUT_sheet!M44)</f>
        <v/>
      </c>
      <c r="D44" s="24" t="str">
        <f>IF(INPUT_sheet!A44=0,"",INPUT_sheet!A44)</f>
        <v/>
      </c>
      <c r="E44" s="19" t="str">
        <f>IF(INPUT_sheet!H44=0,"",(INPUT_sheet!H44)/1000)</f>
        <v/>
      </c>
      <c r="F44" s="19" t="str">
        <f>IF(INPUT_sheet!I44=0,"",(INPUT_sheet!I44)/1000)</f>
        <v/>
      </c>
      <c r="G44" s="19" t="str">
        <f>IF(INPUT_sheet!J44=0,"",(INPUT_sheet!J44)/1000)</f>
        <v/>
      </c>
    </row>
    <row r="45" spans="1:7">
      <c r="A45" s="17" t="str">
        <f t="shared" si="0"/>
        <v/>
      </c>
      <c r="B45" s="17" t="str">
        <f>IF(INPUT_sheet!$F45=0,"", IF(LEFT((INPUT_sheet!$F45),1)="(",RIGHT((INPUT_sheet!$F45),LEN(INPUT_sheet!$F45)-3), (INPUT_sheet!$F45)))</f>
        <v/>
      </c>
      <c r="C45" s="17" t="str">
        <f>IF(INPUT_sheet!M45=0, "", INPUT_sheet!M45)</f>
        <v/>
      </c>
      <c r="D45" s="24" t="str">
        <f>IF(INPUT_sheet!A45=0,"",INPUT_sheet!A45)</f>
        <v/>
      </c>
      <c r="E45" s="19" t="str">
        <f>IF(INPUT_sheet!H45=0,"",(INPUT_sheet!H45)/1000)</f>
        <v/>
      </c>
      <c r="F45" s="19" t="str">
        <f>IF(INPUT_sheet!I45=0,"",(INPUT_sheet!I45)/1000)</f>
        <v/>
      </c>
      <c r="G45" s="19" t="str">
        <f>IF(INPUT_sheet!J45=0,"",(INPUT_sheet!J45)/1000)</f>
        <v/>
      </c>
    </row>
    <row r="46" spans="1:7">
      <c r="A46" s="17" t="str">
        <f t="shared" si="0"/>
        <v/>
      </c>
      <c r="B46" s="17" t="str">
        <f>IF(INPUT_sheet!$F46=0,"", IF(LEFT((INPUT_sheet!$F46),1)="(",RIGHT((INPUT_sheet!$F46),LEN(INPUT_sheet!$F46)-3), (INPUT_sheet!$F46)))</f>
        <v/>
      </c>
      <c r="C46" s="17" t="str">
        <f>IF(INPUT_sheet!M46=0, "", INPUT_sheet!M46)</f>
        <v/>
      </c>
      <c r="D46" s="24" t="str">
        <f>IF(INPUT_sheet!A46=0,"",INPUT_sheet!A46)</f>
        <v/>
      </c>
      <c r="E46" s="19" t="str">
        <f>IF(INPUT_sheet!H46=0,"",(INPUT_sheet!H46)/1000)</f>
        <v/>
      </c>
      <c r="F46" s="19" t="str">
        <f>IF(INPUT_sheet!I46=0,"",(INPUT_sheet!I46)/1000)</f>
        <v/>
      </c>
      <c r="G46" s="19" t="str">
        <f>IF(INPUT_sheet!J46=0,"",(INPUT_sheet!J46)/1000)</f>
        <v/>
      </c>
    </row>
    <row r="47" spans="1:7">
      <c r="A47" s="17" t="str">
        <f t="shared" si="0"/>
        <v/>
      </c>
      <c r="B47" s="17" t="str">
        <f>IF(INPUT_sheet!$F47=0,"", IF(LEFT((INPUT_sheet!$F47),1)="(",RIGHT((INPUT_sheet!$F47),LEN(INPUT_sheet!$F47)-3), (INPUT_sheet!$F47)))</f>
        <v/>
      </c>
      <c r="C47" s="17" t="str">
        <f>IF(INPUT_sheet!M47=0, "", INPUT_sheet!M47)</f>
        <v/>
      </c>
      <c r="D47" s="24" t="str">
        <f>IF(INPUT_sheet!A47=0,"",INPUT_sheet!A47)</f>
        <v/>
      </c>
      <c r="E47" s="19" t="str">
        <f>IF(INPUT_sheet!H47=0,"",(INPUT_sheet!H47)/1000)</f>
        <v/>
      </c>
      <c r="F47" s="19" t="str">
        <f>IF(INPUT_sheet!I47=0,"",(INPUT_sheet!I47)/1000)</f>
        <v/>
      </c>
      <c r="G47" s="19" t="str">
        <f>IF(INPUT_sheet!J47=0,"",(INPUT_sheet!J47)/1000)</f>
        <v/>
      </c>
    </row>
    <row r="48" spans="1:7">
      <c r="A48" s="17" t="str">
        <f t="shared" si="0"/>
        <v/>
      </c>
      <c r="B48" s="17" t="str">
        <f>IF(INPUT_sheet!$F48=0,"", IF(LEFT((INPUT_sheet!$F48),1)="(",RIGHT((INPUT_sheet!$F48),LEN(INPUT_sheet!$F48)-3), (INPUT_sheet!$F48)))</f>
        <v/>
      </c>
      <c r="C48" s="17" t="str">
        <f>IF(INPUT_sheet!M48=0, "", INPUT_sheet!M48)</f>
        <v/>
      </c>
      <c r="D48" s="24" t="str">
        <f>IF(INPUT_sheet!A48=0,"",INPUT_sheet!A48)</f>
        <v/>
      </c>
      <c r="E48" s="19" t="str">
        <f>IF(INPUT_sheet!H48=0,"",(INPUT_sheet!H48)/1000)</f>
        <v/>
      </c>
      <c r="F48" s="19" t="str">
        <f>IF(INPUT_sheet!I48=0,"",(INPUT_sheet!I48)/1000)</f>
        <v/>
      </c>
      <c r="G48" s="19" t="str">
        <f>IF(INPUT_sheet!J48=0,"",(INPUT_sheet!J48)/1000)</f>
        <v/>
      </c>
    </row>
    <row r="49" spans="1:7">
      <c r="A49" s="17" t="str">
        <f t="shared" si="0"/>
        <v/>
      </c>
      <c r="B49" s="17" t="str">
        <f>IF(INPUT_sheet!$F49=0,"", IF(LEFT((INPUT_sheet!$F49),1)="(",RIGHT((INPUT_sheet!$F49),LEN(INPUT_sheet!$F49)-3), (INPUT_sheet!$F49)))</f>
        <v/>
      </c>
      <c r="C49" s="17" t="str">
        <f>IF(INPUT_sheet!M49=0, "", INPUT_sheet!M49)</f>
        <v/>
      </c>
      <c r="D49" s="24" t="str">
        <f>IF(INPUT_sheet!A49=0,"",INPUT_sheet!A49)</f>
        <v/>
      </c>
      <c r="E49" s="19" t="str">
        <f>IF(INPUT_sheet!H49=0,"",(INPUT_sheet!H49)/1000)</f>
        <v/>
      </c>
      <c r="F49" s="19" t="str">
        <f>IF(INPUT_sheet!I49=0,"",(INPUT_sheet!I49)/1000)</f>
        <v/>
      </c>
      <c r="G49" s="19" t="str">
        <f>IF(INPUT_sheet!J49=0,"",(INPUT_sheet!J49)/1000)</f>
        <v/>
      </c>
    </row>
    <row r="50" spans="1:7">
      <c r="A50" s="17" t="str">
        <f t="shared" si="0"/>
        <v/>
      </c>
      <c r="B50" s="17" t="str">
        <f>IF(INPUT_sheet!$F50=0,"", IF(LEFT((INPUT_sheet!$F50),1)="(",RIGHT((INPUT_sheet!$F50),LEN(INPUT_sheet!$F50)-3), (INPUT_sheet!$F50)))</f>
        <v/>
      </c>
      <c r="C50" s="17" t="str">
        <f>IF(INPUT_sheet!M50=0, "", INPUT_sheet!M50)</f>
        <v/>
      </c>
      <c r="D50" s="24" t="str">
        <f>IF(INPUT_sheet!A50=0,"",INPUT_sheet!A50)</f>
        <v/>
      </c>
      <c r="E50" s="19" t="str">
        <f>IF(INPUT_sheet!H50=0,"",(INPUT_sheet!H50)/1000)</f>
        <v/>
      </c>
      <c r="F50" s="19" t="str">
        <f>IF(INPUT_sheet!I50=0,"",(INPUT_sheet!I50)/1000)</f>
        <v/>
      </c>
      <c r="G50" s="19" t="str">
        <f>IF(INPUT_sheet!J50=0,"",(INPUT_sheet!J50)/1000)</f>
        <v/>
      </c>
    </row>
    <row r="51" spans="1:7">
      <c r="A51" s="17" t="str">
        <f t="shared" si="0"/>
        <v/>
      </c>
      <c r="B51" s="17" t="str">
        <f>IF(INPUT_sheet!$F51=0,"", IF(LEFT((INPUT_sheet!$F51),1)="(",RIGHT((INPUT_sheet!$F51),LEN(INPUT_sheet!$F51)-3), (INPUT_sheet!$F51)))</f>
        <v/>
      </c>
      <c r="C51" s="17" t="str">
        <f>IF(INPUT_sheet!M51=0, "", INPUT_sheet!M51)</f>
        <v/>
      </c>
      <c r="D51" s="24" t="str">
        <f>IF(INPUT_sheet!A51=0,"",INPUT_sheet!A51)</f>
        <v/>
      </c>
      <c r="E51" s="19" t="str">
        <f>IF(INPUT_sheet!H51=0,"",(INPUT_sheet!H51)/1000)</f>
        <v/>
      </c>
      <c r="F51" s="19" t="str">
        <f>IF(INPUT_sheet!I51=0,"",(INPUT_sheet!I51)/1000)</f>
        <v/>
      </c>
      <c r="G51" s="19" t="str">
        <f>IF(INPUT_sheet!J51=0,"",(INPUT_sheet!J51)/1000)</f>
        <v/>
      </c>
    </row>
    <row r="52" spans="1:7">
      <c r="A52" s="17" t="str">
        <f t="shared" si="0"/>
        <v/>
      </c>
      <c r="B52" s="17" t="str">
        <f>IF(INPUT_sheet!$F52=0,"", IF(LEFT((INPUT_sheet!$F52),1)="(",RIGHT((INPUT_sheet!$F52),LEN(INPUT_sheet!$F52)-3), (INPUT_sheet!$F52)))</f>
        <v/>
      </c>
      <c r="C52" s="17" t="str">
        <f>IF(INPUT_sheet!M52=0, "", INPUT_sheet!M52)</f>
        <v/>
      </c>
      <c r="D52" s="24" t="str">
        <f>IF(INPUT_sheet!A52=0,"",INPUT_sheet!A52)</f>
        <v/>
      </c>
      <c r="E52" s="19" t="str">
        <f>IF(INPUT_sheet!H52=0,"",(INPUT_sheet!H52)/1000)</f>
        <v/>
      </c>
      <c r="F52" s="19" t="str">
        <f>IF(INPUT_sheet!I52=0,"",(INPUT_sheet!I52)/1000)</f>
        <v/>
      </c>
      <c r="G52" s="19" t="str">
        <f>IF(INPUT_sheet!J52=0,"",(INPUT_sheet!J52)/1000)</f>
        <v/>
      </c>
    </row>
    <row r="53" spans="1:7">
      <c r="A53" s="17" t="str">
        <f t="shared" si="0"/>
        <v/>
      </c>
      <c r="B53" s="17" t="str">
        <f>IF(INPUT_sheet!$F53=0,"", IF(LEFT((INPUT_sheet!$F53),1)="(",RIGHT((INPUT_sheet!$F53),LEN(INPUT_sheet!$F53)-3), (INPUT_sheet!$F53)))</f>
        <v/>
      </c>
      <c r="C53" s="17" t="str">
        <f>IF(INPUT_sheet!M53=0, "", INPUT_sheet!M53)</f>
        <v/>
      </c>
      <c r="D53" s="24" t="str">
        <f>IF(INPUT_sheet!A53=0,"",INPUT_sheet!A53)</f>
        <v/>
      </c>
      <c r="E53" s="19" t="str">
        <f>IF(INPUT_sheet!H53=0,"",(INPUT_sheet!H53)/1000)</f>
        <v/>
      </c>
      <c r="F53" s="19" t="str">
        <f>IF(INPUT_sheet!I53=0,"",(INPUT_sheet!I53)/1000)</f>
        <v/>
      </c>
      <c r="G53" s="19" t="str">
        <f>IF(INPUT_sheet!J53=0,"",(INPUT_sheet!J53)/1000)</f>
        <v/>
      </c>
    </row>
    <row r="54" spans="1:7">
      <c r="A54" s="17" t="str">
        <f t="shared" si="0"/>
        <v/>
      </c>
      <c r="B54" s="17" t="str">
        <f>IF(INPUT_sheet!$F54=0,"", IF(LEFT((INPUT_sheet!$F54),1)="(",RIGHT((INPUT_sheet!$F54),LEN(INPUT_sheet!$F54)-3), (INPUT_sheet!$F54)))</f>
        <v/>
      </c>
      <c r="C54" s="17" t="str">
        <f>IF(INPUT_sheet!M54=0, "", INPUT_sheet!M54)</f>
        <v/>
      </c>
      <c r="D54" s="24" t="str">
        <f>IF(INPUT_sheet!A54=0,"",INPUT_sheet!A54)</f>
        <v/>
      </c>
      <c r="E54" s="19" t="str">
        <f>IF(INPUT_sheet!H54=0,"",(INPUT_sheet!H54)/1000)</f>
        <v/>
      </c>
      <c r="F54" s="19" t="str">
        <f>IF(INPUT_sheet!I54=0,"",(INPUT_sheet!I54)/1000)</f>
        <v/>
      </c>
      <c r="G54" s="19" t="str">
        <f>IF(INPUT_sheet!J54=0,"",(INPUT_sheet!J54)/1000)</f>
        <v/>
      </c>
    </row>
    <row r="55" spans="1:7">
      <c r="A55" s="17" t="str">
        <f t="shared" si="0"/>
        <v/>
      </c>
      <c r="B55" s="17" t="str">
        <f>IF(INPUT_sheet!$F55=0,"", IF(LEFT((INPUT_sheet!$F55),1)="(",RIGHT((INPUT_sheet!$F55),LEN(INPUT_sheet!$F55)-3), (INPUT_sheet!$F55)))</f>
        <v/>
      </c>
      <c r="C55" s="17" t="str">
        <f>IF(INPUT_sheet!M55=0, "", INPUT_sheet!M55)</f>
        <v/>
      </c>
      <c r="D55" s="24" t="str">
        <f>IF(INPUT_sheet!A55=0,"",INPUT_sheet!A55)</f>
        <v/>
      </c>
      <c r="E55" s="19" t="str">
        <f>IF(INPUT_sheet!H55=0,"",(INPUT_sheet!H55)/1000)</f>
        <v/>
      </c>
      <c r="F55" s="19" t="str">
        <f>IF(INPUT_sheet!I55=0,"",(INPUT_sheet!I55)/1000)</f>
        <v/>
      </c>
      <c r="G55" s="19" t="str">
        <f>IF(INPUT_sheet!J55=0,"",(INPUT_sheet!J55)/1000)</f>
        <v/>
      </c>
    </row>
    <row r="56" spans="1:7">
      <c r="A56" s="17" t="str">
        <f t="shared" si="0"/>
        <v/>
      </c>
      <c r="B56" s="17" t="str">
        <f>IF(INPUT_sheet!$F56=0,"", IF(LEFT((INPUT_sheet!$F56),1)="(",RIGHT((INPUT_sheet!$F56),LEN(INPUT_sheet!$F56)-3), (INPUT_sheet!$F56)))</f>
        <v/>
      </c>
      <c r="C56" s="17" t="str">
        <f>IF(INPUT_sheet!M56=0, "", INPUT_sheet!M56)</f>
        <v/>
      </c>
      <c r="D56" s="24" t="str">
        <f>IF(INPUT_sheet!A56=0,"",INPUT_sheet!A56)</f>
        <v/>
      </c>
      <c r="E56" s="19" t="str">
        <f>IF(INPUT_sheet!H56=0,"",(INPUT_sheet!H56)/1000)</f>
        <v/>
      </c>
      <c r="F56" s="19" t="str">
        <f>IF(INPUT_sheet!I56=0,"",(INPUT_sheet!I56)/1000)</f>
        <v/>
      </c>
      <c r="G56" s="19" t="str">
        <f>IF(INPUT_sheet!J56=0,"",(INPUT_sheet!J56)/1000)</f>
        <v/>
      </c>
    </row>
    <row r="57" spans="1:7">
      <c r="A57" s="17" t="str">
        <f t="shared" si="0"/>
        <v/>
      </c>
      <c r="B57" s="17" t="str">
        <f>IF(INPUT_sheet!$F57=0,"", IF(LEFT((INPUT_sheet!$F57),1)="(",RIGHT((INPUT_sheet!$F57),LEN(INPUT_sheet!$F57)-3), (INPUT_sheet!$F57)))</f>
        <v/>
      </c>
      <c r="C57" s="17" t="str">
        <f>IF(INPUT_sheet!M57=0, "", INPUT_sheet!M57)</f>
        <v/>
      </c>
      <c r="D57" s="24" t="str">
        <f>IF(INPUT_sheet!A57=0,"",INPUT_sheet!A57)</f>
        <v/>
      </c>
      <c r="E57" s="19" t="str">
        <f>IF(INPUT_sheet!H57=0,"",(INPUT_sheet!H57)/1000)</f>
        <v/>
      </c>
      <c r="F57" s="19" t="str">
        <f>IF(INPUT_sheet!I57=0,"",(INPUT_sheet!I57)/1000)</f>
        <v/>
      </c>
      <c r="G57" s="19" t="str">
        <f>IF(INPUT_sheet!J57=0,"",(INPUT_sheet!J57)/1000)</f>
        <v/>
      </c>
    </row>
    <row r="58" spans="1:7">
      <c r="A58" s="17" t="str">
        <f t="shared" si="0"/>
        <v/>
      </c>
      <c r="B58" s="17" t="str">
        <f>IF(INPUT_sheet!$F58=0,"", IF(LEFT((INPUT_sheet!$F58),1)="(",RIGHT((INPUT_sheet!$F58),LEN(INPUT_sheet!$F58)-3), (INPUT_sheet!$F58)))</f>
        <v/>
      </c>
      <c r="C58" s="17" t="str">
        <f>IF(INPUT_sheet!M58=0, "", INPUT_sheet!M58)</f>
        <v/>
      </c>
      <c r="D58" s="24" t="str">
        <f>IF(INPUT_sheet!A58=0,"",INPUT_sheet!A58)</f>
        <v/>
      </c>
      <c r="E58" s="19" t="str">
        <f>IF(INPUT_sheet!H58=0,"",(INPUT_sheet!H58)/1000)</f>
        <v/>
      </c>
      <c r="F58" s="19" t="str">
        <f>IF(INPUT_sheet!I58=0,"",(INPUT_sheet!I58)/1000)</f>
        <v/>
      </c>
      <c r="G58" s="19" t="str">
        <f>IF(INPUT_sheet!J58=0,"",(INPUT_sheet!J58)/1000)</f>
        <v/>
      </c>
    </row>
    <row r="59" spans="1:7">
      <c r="A59" s="17" t="str">
        <f t="shared" si="0"/>
        <v/>
      </c>
      <c r="B59" s="17" t="str">
        <f>IF(INPUT_sheet!$F59=0,"", IF(LEFT((INPUT_sheet!$F59),1)="(",RIGHT((INPUT_sheet!$F59),LEN(INPUT_sheet!$F59)-3), (INPUT_sheet!$F59)))</f>
        <v/>
      </c>
      <c r="C59" s="17" t="str">
        <f>IF(INPUT_sheet!M59=0, "", INPUT_sheet!M59)</f>
        <v/>
      </c>
      <c r="D59" s="24" t="str">
        <f>IF(INPUT_sheet!A59=0,"",INPUT_sheet!A59)</f>
        <v/>
      </c>
      <c r="E59" s="19" t="str">
        <f>IF(INPUT_sheet!H59=0,"",(INPUT_sheet!H59)/1000)</f>
        <v/>
      </c>
      <c r="F59" s="19" t="str">
        <f>IF(INPUT_sheet!I59=0,"",(INPUT_sheet!I59)/1000)</f>
        <v/>
      </c>
      <c r="G59" s="19" t="str">
        <f>IF(INPUT_sheet!J59=0,"",(INPUT_sheet!J59)/1000)</f>
        <v/>
      </c>
    </row>
    <row r="60" spans="1:7">
      <c r="A60" s="17" t="str">
        <f t="shared" si="0"/>
        <v/>
      </c>
      <c r="B60" s="17" t="str">
        <f>IF(INPUT_sheet!$F60=0,"", IF(LEFT((INPUT_sheet!$F60),1)="(",RIGHT((INPUT_sheet!$F60),LEN(INPUT_sheet!$F60)-3), (INPUT_sheet!$F60)))</f>
        <v/>
      </c>
      <c r="C60" s="17" t="str">
        <f>IF(INPUT_sheet!M60=0, "", INPUT_sheet!M60)</f>
        <v/>
      </c>
      <c r="D60" s="24" t="str">
        <f>IF(INPUT_sheet!A60=0,"",INPUT_sheet!A60)</f>
        <v/>
      </c>
      <c r="E60" s="19" t="str">
        <f>IF(INPUT_sheet!H60=0,"",(INPUT_sheet!H60)/1000)</f>
        <v/>
      </c>
      <c r="F60" s="19" t="str">
        <f>IF(INPUT_sheet!I60=0,"",(INPUT_sheet!I60)/1000)</f>
        <v/>
      </c>
      <c r="G60" s="19" t="str">
        <f>IF(INPUT_sheet!J60=0,"",(INPUT_sheet!J60)/1000)</f>
        <v/>
      </c>
    </row>
    <row r="61" spans="1:7">
      <c r="A61" s="17" t="str">
        <f t="shared" si="0"/>
        <v/>
      </c>
      <c r="B61" s="17" t="str">
        <f>IF(INPUT_sheet!$F61=0,"", IF(LEFT((INPUT_sheet!$F61),1)="(",RIGHT((INPUT_sheet!$F61),LEN(INPUT_sheet!$F61)-3), (INPUT_sheet!$F61)))</f>
        <v/>
      </c>
      <c r="C61" s="17" t="str">
        <f>IF(INPUT_sheet!M61=0, "", INPUT_sheet!M61)</f>
        <v/>
      </c>
      <c r="D61" s="24" t="str">
        <f>IF(INPUT_sheet!A61=0,"",INPUT_sheet!A61)</f>
        <v/>
      </c>
      <c r="E61" s="19" t="str">
        <f>IF(INPUT_sheet!H61=0,"",(INPUT_sheet!H61)/1000)</f>
        <v/>
      </c>
      <c r="F61" s="19" t="str">
        <f>IF(INPUT_sheet!I61=0,"",(INPUT_sheet!I61)/1000)</f>
        <v/>
      </c>
      <c r="G61" s="19" t="str">
        <f>IF(INPUT_sheet!J61=0,"",(INPUT_sheet!J61)/1000)</f>
        <v/>
      </c>
    </row>
    <row r="62" spans="1:7">
      <c r="A62" s="17" t="str">
        <f t="shared" si="0"/>
        <v/>
      </c>
      <c r="B62" s="17" t="str">
        <f>IF(INPUT_sheet!$F62=0,"", IF(LEFT((INPUT_sheet!$F62),1)="(",RIGHT((INPUT_sheet!$F62),LEN(INPUT_sheet!$F62)-3), (INPUT_sheet!$F62)))</f>
        <v/>
      </c>
      <c r="C62" s="17" t="str">
        <f>IF(INPUT_sheet!M62=0, "", INPUT_sheet!M62)</f>
        <v/>
      </c>
      <c r="D62" s="24" t="str">
        <f>IF(INPUT_sheet!A62=0,"",INPUT_sheet!A62)</f>
        <v/>
      </c>
      <c r="E62" s="19" t="str">
        <f>IF(INPUT_sheet!H62=0,"",(INPUT_sheet!H62)/1000)</f>
        <v/>
      </c>
      <c r="F62" s="19" t="str">
        <f>IF(INPUT_sheet!I62=0,"",(INPUT_sheet!I62)/1000)</f>
        <v/>
      </c>
      <c r="G62" s="19" t="str">
        <f>IF(INPUT_sheet!J62=0,"",(INPUT_sheet!J62)/1000)</f>
        <v/>
      </c>
    </row>
    <row r="63" spans="1:7">
      <c r="A63" s="17" t="str">
        <f t="shared" si="0"/>
        <v/>
      </c>
      <c r="B63" s="17" t="str">
        <f>IF(INPUT_sheet!$F63=0,"", IF(LEFT((INPUT_sheet!$F63),1)="(",RIGHT((INPUT_sheet!$F63),LEN(INPUT_sheet!$F63)-3), (INPUT_sheet!$F63)))</f>
        <v/>
      </c>
      <c r="C63" s="17" t="str">
        <f>IF(INPUT_sheet!M63=0, "", INPUT_sheet!M63)</f>
        <v/>
      </c>
      <c r="D63" s="24" t="str">
        <f>IF(INPUT_sheet!A63=0,"",INPUT_sheet!A63)</f>
        <v/>
      </c>
      <c r="E63" s="19" t="str">
        <f>IF(INPUT_sheet!H63=0,"",(INPUT_sheet!H63)/1000)</f>
        <v/>
      </c>
      <c r="F63" s="19" t="str">
        <f>IF(INPUT_sheet!I63=0,"",(INPUT_sheet!I63)/1000)</f>
        <v/>
      </c>
      <c r="G63" s="19" t="str">
        <f>IF(INPUT_sheet!J63=0,"",(INPUT_sheet!J63)/1000)</f>
        <v/>
      </c>
    </row>
    <row r="64" spans="1:7">
      <c r="A64" s="17" t="str">
        <f t="shared" si="0"/>
        <v/>
      </c>
      <c r="B64" s="17" t="str">
        <f>IF(INPUT_sheet!$F64=0,"", IF(LEFT((INPUT_sheet!$F64),1)="(",RIGHT((INPUT_sheet!$F64),LEN(INPUT_sheet!$F64)-3), (INPUT_sheet!$F64)))</f>
        <v/>
      </c>
      <c r="C64" s="17" t="str">
        <f>IF(INPUT_sheet!M64=0, "", INPUT_sheet!M64)</f>
        <v/>
      </c>
      <c r="D64" s="24" t="str">
        <f>IF(INPUT_sheet!A64=0,"",INPUT_sheet!A64)</f>
        <v/>
      </c>
      <c r="E64" s="19" t="str">
        <f>IF(INPUT_sheet!H64=0,"",(INPUT_sheet!H64)/1000)</f>
        <v/>
      </c>
      <c r="F64" s="19" t="str">
        <f>IF(INPUT_sheet!I64=0,"",(INPUT_sheet!I64)/1000)</f>
        <v/>
      </c>
      <c r="G64" s="19" t="str">
        <f>IF(INPUT_sheet!J64=0,"",(INPUT_sheet!J64)/1000)</f>
        <v/>
      </c>
    </row>
    <row r="65" spans="1:7">
      <c r="A65" s="17" t="str">
        <f t="shared" si="0"/>
        <v/>
      </c>
      <c r="B65" s="17" t="str">
        <f>IF(INPUT_sheet!$F65=0,"", IF(LEFT((INPUT_sheet!$F65),1)="(",RIGHT((INPUT_sheet!$F65),LEN(INPUT_sheet!$F65)-3), (INPUT_sheet!$F65)))</f>
        <v/>
      </c>
      <c r="C65" s="17" t="str">
        <f>IF(INPUT_sheet!M65=0, "", INPUT_sheet!M65)</f>
        <v/>
      </c>
      <c r="D65" s="24" t="str">
        <f>IF(INPUT_sheet!A65=0,"",INPUT_sheet!A65)</f>
        <v/>
      </c>
      <c r="E65" s="19" t="str">
        <f>IF(INPUT_sheet!H65=0,"",(INPUT_sheet!H65)/1000)</f>
        <v/>
      </c>
      <c r="F65" s="19" t="str">
        <f>IF(INPUT_sheet!I65=0,"",(INPUT_sheet!I65)/1000)</f>
        <v/>
      </c>
      <c r="G65" s="19" t="str">
        <f>IF(INPUT_sheet!J65=0,"",(INPUT_sheet!J65)/1000)</f>
        <v/>
      </c>
    </row>
    <row r="66" spans="1:7">
      <c r="A66" s="17" t="str">
        <f t="shared" si="0"/>
        <v/>
      </c>
      <c r="B66" s="17" t="str">
        <f>IF(INPUT_sheet!$F66=0,"", IF(LEFT((INPUT_sheet!$F66),1)="(",RIGHT((INPUT_sheet!$F66),LEN(INPUT_sheet!$F66)-3), (INPUT_sheet!$F66)))</f>
        <v/>
      </c>
      <c r="C66" s="17" t="str">
        <f>IF(INPUT_sheet!M66=0, "", INPUT_sheet!M66)</f>
        <v/>
      </c>
      <c r="D66" s="24" t="str">
        <f>IF(INPUT_sheet!A66=0,"",INPUT_sheet!A66)</f>
        <v/>
      </c>
      <c r="E66" s="19" t="str">
        <f>IF(INPUT_sheet!H66=0,"",(INPUT_sheet!H66)/1000)</f>
        <v/>
      </c>
      <c r="F66" s="19" t="str">
        <f>IF(INPUT_sheet!I66=0,"",(INPUT_sheet!I66)/1000)</f>
        <v/>
      </c>
      <c r="G66" s="19" t="str">
        <f>IF(INPUT_sheet!J66=0,"",(INPUT_sheet!J66)/1000)</f>
        <v/>
      </c>
    </row>
    <row r="67" spans="1:7">
      <c r="A67" s="17" t="str">
        <f t="shared" ref="A67:A130" si="1">IF($B67="", "", ROW()-1)</f>
        <v/>
      </c>
      <c r="B67" s="17" t="str">
        <f>IF(INPUT_sheet!$F67=0,"", IF(LEFT((INPUT_sheet!$F67),1)="(",RIGHT((INPUT_sheet!$F67),LEN(INPUT_sheet!$F67)-3), (INPUT_sheet!$F67)))</f>
        <v/>
      </c>
      <c r="C67" s="17" t="str">
        <f>IF(INPUT_sheet!M67=0, "", INPUT_sheet!M67)</f>
        <v/>
      </c>
      <c r="D67" s="24" t="str">
        <f>IF(INPUT_sheet!A67=0,"",INPUT_sheet!A67)</f>
        <v/>
      </c>
      <c r="E67" s="19" t="str">
        <f>IF(INPUT_sheet!H67=0,"",(INPUT_sheet!H67)/1000)</f>
        <v/>
      </c>
      <c r="F67" s="19" t="str">
        <f>IF(INPUT_sheet!I67=0,"",(INPUT_sheet!I67)/1000)</f>
        <v/>
      </c>
      <c r="G67" s="19" t="str">
        <f>IF(INPUT_sheet!J67=0,"",(INPUT_sheet!J67)/1000)</f>
        <v/>
      </c>
    </row>
    <row r="68" spans="1:7">
      <c r="A68" s="17" t="str">
        <f t="shared" si="1"/>
        <v/>
      </c>
      <c r="B68" s="17" t="str">
        <f>IF(INPUT_sheet!$F68=0,"", IF(LEFT((INPUT_sheet!$F68),1)="(",RIGHT((INPUT_sheet!$F68),LEN(INPUT_sheet!$F68)-3), (INPUT_sheet!$F68)))</f>
        <v/>
      </c>
      <c r="C68" s="17" t="str">
        <f>IF(INPUT_sheet!M68=0, "", INPUT_sheet!M68)</f>
        <v/>
      </c>
      <c r="D68" s="24" t="str">
        <f>IF(INPUT_sheet!A68=0,"",INPUT_sheet!A68)</f>
        <v/>
      </c>
      <c r="E68" s="19" t="str">
        <f>IF(INPUT_sheet!H68=0,"",(INPUT_sheet!H68)/1000)</f>
        <v/>
      </c>
      <c r="F68" s="19" t="str">
        <f>IF(INPUT_sheet!I68=0,"",(INPUT_sheet!I68)/1000)</f>
        <v/>
      </c>
      <c r="G68" s="19" t="str">
        <f>IF(INPUT_sheet!J68=0,"",(INPUT_sheet!J68)/1000)</f>
        <v/>
      </c>
    </row>
    <row r="69" spans="1:7">
      <c r="A69" s="17" t="str">
        <f t="shared" si="1"/>
        <v/>
      </c>
      <c r="B69" s="17" t="str">
        <f>IF(INPUT_sheet!$F69=0,"", IF(LEFT((INPUT_sheet!$F69),1)="(",RIGHT((INPUT_sheet!$F69),LEN(INPUT_sheet!$F69)-3), (INPUT_sheet!$F69)))</f>
        <v/>
      </c>
      <c r="C69" s="17" t="str">
        <f>IF(INPUT_sheet!M69=0, "", INPUT_sheet!M69)</f>
        <v/>
      </c>
      <c r="D69" s="24" t="str">
        <f>IF(INPUT_sheet!A69=0,"",INPUT_sheet!A69)</f>
        <v/>
      </c>
      <c r="E69" s="19" t="str">
        <f>IF(INPUT_sheet!H69=0,"",(INPUT_sheet!H69)/1000)</f>
        <v/>
      </c>
      <c r="F69" s="19" t="str">
        <f>IF(INPUT_sheet!I69=0,"",(INPUT_sheet!I69)/1000)</f>
        <v/>
      </c>
      <c r="G69" s="19" t="str">
        <f>IF(INPUT_sheet!J69=0,"",(INPUT_sheet!J69)/1000)</f>
        <v/>
      </c>
    </row>
    <row r="70" spans="1:7">
      <c r="A70" s="17" t="str">
        <f t="shared" si="1"/>
        <v/>
      </c>
      <c r="B70" s="17" t="str">
        <f>IF(INPUT_sheet!$F70=0,"", IF(LEFT((INPUT_sheet!$F70),1)="(",RIGHT((INPUT_sheet!$F70),LEN(INPUT_sheet!$F70)-3), (INPUT_sheet!$F70)))</f>
        <v/>
      </c>
      <c r="C70" s="17" t="str">
        <f>IF(INPUT_sheet!M70=0, "", INPUT_sheet!M70)</f>
        <v/>
      </c>
      <c r="D70" s="24" t="str">
        <f>IF(INPUT_sheet!A70=0,"",INPUT_sheet!A70)</f>
        <v/>
      </c>
      <c r="E70" s="19" t="str">
        <f>IF(INPUT_sheet!H70=0,"",(INPUT_sheet!H70)/1000)</f>
        <v/>
      </c>
      <c r="F70" s="19" t="str">
        <f>IF(INPUT_sheet!I70=0,"",(INPUT_sheet!I70)/1000)</f>
        <v/>
      </c>
      <c r="G70" s="19" t="str">
        <f>IF(INPUT_sheet!J70=0,"",(INPUT_sheet!J70)/1000)</f>
        <v/>
      </c>
    </row>
    <row r="71" spans="1:7">
      <c r="A71" s="17" t="str">
        <f t="shared" si="1"/>
        <v/>
      </c>
      <c r="B71" s="17" t="str">
        <f>IF(INPUT_sheet!$F71=0,"", IF(LEFT((INPUT_sheet!$F71),1)="(",RIGHT((INPUT_sheet!$F71),LEN(INPUT_sheet!$F71)-3), (INPUT_sheet!$F71)))</f>
        <v/>
      </c>
      <c r="C71" s="17" t="str">
        <f>IF(INPUT_sheet!M71=0, "", INPUT_sheet!M71)</f>
        <v/>
      </c>
      <c r="D71" s="24" t="str">
        <f>IF(INPUT_sheet!A71=0,"",INPUT_sheet!A71)</f>
        <v/>
      </c>
      <c r="E71" s="19" t="str">
        <f>IF(INPUT_sheet!H71=0,"",(INPUT_sheet!H71)/1000)</f>
        <v/>
      </c>
      <c r="F71" s="19" t="str">
        <f>IF(INPUT_sheet!I71=0,"",(INPUT_sheet!I71)/1000)</f>
        <v/>
      </c>
      <c r="G71" s="19" t="str">
        <f>IF(INPUT_sheet!J71=0,"",(INPUT_sheet!J71)/1000)</f>
        <v/>
      </c>
    </row>
    <row r="72" spans="1:7">
      <c r="A72" s="17" t="str">
        <f t="shared" si="1"/>
        <v/>
      </c>
      <c r="B72" s="17" t="str">
        <f>IF(INPUT_sheet!$F72=0,"", IF(LEFT((INPUT_sheet!$F72),1)="(",RIGHT((INPUT_sheet!$F72),LEN(INPUT_sheet!$F72)-3), (INPUT_sheet!$F72)))</f>
        <v/>
      </c>
      <c r="C72" s="17" t="str">
        <f>IF(INPUT_sheet!M72=0, "", INPUT_sheet!M72)</f>
        <v/>
      </c>
      <c r="D72" s="24" t="str">
        <f>IF(INPUT_sheet!A72=0,"",INPUT_sheet!A72)</f>
        <v/>
      </c>
      <c r="E72" s="19" t="str">
        <f>IF(INPUT_sheet!H72=0,"",(INPUT_sheet!H72)/1000)</f>
        <v/>
      </c>
      <c r="F72" s="19" t="str">
        <f>IF(INPUT_sheet!I72=0,"",(INPUT_sheet!I72)/1000)</f>
        <v/>
      </c>
      <c r="G72" s="19" t="str">
        <f>IF(INPUT_sheet!J72=0,"",(INPUT_sheet!J72)/1000)</f>
        <v/>
      </c>
    </row>
    <row r="73" spans="1:7">
      <c r="A73" s="17" t="str">
        <f t="shared" si="1"/>
        <v/>
      </c>
      <c r="B73" s="17" t="str">
        <f>IF(INPUT_sheet!$F73=0,"", IF(LEFT((INPUT_sheet!$F73),1)="(",RIGHT((INPUT_sheet!$F73),LEN(INPUT_sheet!$F73)-3), (INPUT_sheet!$F73)))</f>
        <v/>
      </c>
      <c r="C73" s="17" t="str">
        <f>IF(INPUT_sheet!M73=0, "", INPUT_sheet!M73)</f>
        <v/>
      </c>
      <c r="D73" s="24" t="str">
        <f>IF(INPUT_sheet!A73=0,"",INPUT_sheet!A73)</f>
        <v/>
      </c>
      <c r="E73" s="19" t="str">
        <f>IF(INPUT_sheet!H73=0,"",(INPUT_sheet!H73)/1000)</f>
        <v/>
      </c>
      <c r="F73" s="19" t="str">
        <f>IF(INPUT_sheet!I73=0,"",(INPUT_sheet!I73)/1000)</f>
        <v/>
      </c>
      <c r="G73" s="19" t="str">
        <f>IF(INPUT_sheet!J73=0,"",(INPUT_sheet!J73)/1000)</f>
        <v/>
      </c>
    </row>
    <row r="74" spans="1:7">
      <c r="A74" s="17" t="str">
        <f t="shared" si="1"/>
        <v/>
      </c>
      <c r="B74" s="17" t="str">
        <f>IF(INPUT_sheet!$F74=0,"", IF(LEFT((INPUT_sheet!$F74),1)="(",RIGHT((INPUT_sheet!$F74),LEN(INPUT_sheet!$F74)-3), (INPUT_sheet!$F74)))</f>
        <v/>
      </c>
      <c r="C74" s="17" t="str">
        <f>IF(INPUT_sheet!M74=0, "", INPUT_sheet!M74)</f>
        <v/>
      </c>
      <c r="D74" s="24" t="str">
        <f>IF(INPUT_sheet!A74=0,"",INPUT_sheet!A74)</f>
        <v/>
      </c>
      <c r="E74" s="19" t="str">
        <f>IF(INPUT_sheet!H74=0,"",(INPUT_sheet!H74)/1000)</f>
        <v/>
      </c>
      <c r="F74" s="19" t="str">
        <f>IF(INPUT_sheet!I74=0,"",(INPUT_sheet!I74)/1000)</f>
        <v/>
      </c>
      <c r="G74" s="19" t="str">
        <f>IF(INPUT_sheet!J74=0,"",(INPUT_sheet!J74)/1000)</f>
        <v/>
      </c>
    </row>
    <row r="75" spans="1:7">
      <c r="A75" s="17" t="str">
        <f t="shared" si="1"/>
        <v/>
      </c>
      <c r="B75" s="17" t="str">
        <f>IF(INPUT_sheet!$F75=0,"", IF(LEFT((INPUT_sheet!$F75),1)="(",RIGHT((INPUT_sheet!$F75),LEN(INPUT_sheet!$F75)-3), (INPUT_sheet!$F75)))</f>
        <v/>
      </c>
      <c r="C75" s="17" t="str">
        <f>IF(INPUT_sheet!M75=0, "", INPUT_sheet!M75)</f>
        <v/>
      </c>
      <c r="D75" s="24" t="str">
        <f>IF(INPUT_sheet!A75=0,"",INPUT_sheet!A75)</f>
        <v/>
      </c>
      <c r="E75" s="19" t="str">
        <f>IF(INPUT_sheet!H75=0,"",(INPUT_sheet!H75)/1000)</f>
        <v/>
      </c>
      <c r="F75" s="19" t="str">
        <f>IF(INPUT_sheet!I75=0,"",(INPUT_sheet!I75)/1000)</f>
        <v/>
      </c>
      <c r="G75" s="19" t="str">
        <f>IF(INPUT_sheet!J75=0,"",(INPUT_sheet!J75)/1000)</f>
        <v/>
      </c>
    </row>
    <row r="76" spans="1:7">
      <c r="A76" s="17" t="str">
        <f t="shared" si="1"/>
        <v/>
      </c>
      <c r="B76" s="17" t="str">
        <f>IF(INPUT_sheet!$F76=0,"", IF(LEFT((INPUT_sheet!$F76),1)="(",RIGHT((INPUT_sheet!$F76),LEN(INPUT_sheet!$F76)-3), (INPUT_sheet!$F76)))</f>
        <v/>
      </c>
      <c r="C76" s="17" t="str">
        <f>IF(INPUT_sheet!M76=0, "", INPUT_sheet!M76)</f>
        <v/>
      </c>
      <c r="D76" s="24" t="str">
        <f>IF(INPUT_sheet!A76=0,"",INPUT_sheet!A76)</f>
        <v/>
      </c>
      <c r="E76" s="19" t="str">
        <f>IF(INPUT_sheet!H76=0,"",(INPUT_sheet!H76)/1000)</f>
        <v/>
      </c>
      <c r="F76" s="19" t="str">
        <f>IF(INPUT_sheet!I76=0,"",(INPUT_sheet!I76)/1000)</f>
        <v/>
      </c>
      <c r="G76" s="19" t="str">
        <f>IF(INPUT_sheet!J76=0,"",(INPUT_sheet!J76)/1000)</f>
        <v/>
      </c>
    </row>
    <row r="77" spans="1:7">
      <c r="A77" s="17" t="str">
        <f t="shared" si="1"/>
        <v/>
      </c>
      <c r="B77" s="17" t="str">
        <f>IF(INPUT_sheet!$F77=0,"", IF(LEFT((INPUT_sheet!$F77),1)="(",RIGHT((INPUT_sheet!$F77),LEN(INPUT_sheet!$F77)-3), (INPUT_sheet!$F77)))</f>
        <v/>
      </c>
      <c r="C77" s="17" t="str">
        <f>IF(INPUT_sheet!M77=0, "", INPUT_sheet!M77)</f>
        <v/>
      </c>
      <c r="D77" s="24" t="str">
        <f>IF(INPUT_sheet!A77=0,"",INPUT_sheet!A77)</f>
        <v/>
      </c>
      <c r="E77" s="19" t="str">
        <f>IF(INPUT_sheet!H77=0,"",(INPUT_sheet!H77)/1000)</f>
        <v/>
      </c>
      <c r="F77" s="19" t="str">
        <f>IF(INPUT_sheet!I77=0,"",(INPUT_sheet!I77)/1000)</f>
        <v/>
      </c>
      <c r="G77" s="19" t="str">
        <f>IF(INPUT_sheet!J77=0,"",(INPUT_sheet!J77)/1000)</f>
        <v/>
      </c>
    </row>
    <row r="78" spans="1:7">
      <c r="A78" s="17" t="str">
        <f t="shared" si="1"/>
        <v/>
      </c>
      <c r="B78" s="17" t="str">
        <f>IF(INPUT_sheet!$F78=0,"", IF(LEFT((INPUT_sheet!$F78),1)="(",RIGHT((INPUT_sheet!$F78),LEN(INPUT_sheet!$F78)-3), (INPUT_sheet!$F78)))</f>
        <v/>
      </c>
      <c r="C78" s="17" t="str">
        <f>IF(INPUT_sheet!M78=0, "", INPUT_sheet!M78)</f>
        <v/>
      </c>
      <c r="D78" s="24" t="str">
        <f>IF(INPUT_sheet!A78=0,"",INPUT_sheet!A78)</f>
        <v/>
      </c>
      <c r="E78" s="19" t="str">
        <f>IF(INPUT_sheet!H78=0,"",(INPUT_sheet!H78)/1000)</f>
        <v/>
      </c>
      <c r="F78" s="19" t="str">
        <f>IF(INPUT_sheet!I78=0,"",(INPUT_sheet!I78)/1000)</f>
        <v/>
      </c>
      <c r="G78" s="19" t="str">
        <f>IF(INPUT_sheet!J78=0,"",(INPUT_sheet!J78)/1000)</f>
        <v/>
      </c>
    </row>
    <row r="79" spans="1:7">
      <c r="A79" s="17" t="str">
        <f t="shared" si="1"/>
        <v/>
      </c>
      <c r="B79" s="17" t="str">
        <f>IF(INPUT_sheet!$F79=0,"", IF(LEFT((INPUT_sheet!$F79),1)="(",RIGHT((INPUT_sheet!$F79),LEN(INPUT_sheet!$F79)-3), (INPUT_sheet!$F79)))</f>
        <v/>
      </c>
      <c r="C79" s="17" t="str">
        <f>IF(INPUT_sheet!M79=0, "", INPUT_sheet!M79)</f>
        <v/>
      </c>
      <c r="D79" s="24" t="str">
        <f>IF(INPUT_sheet!A79=0,"",INPUT_sheet!A79)</f>
        <v/>
      </c>
      <c r="E79" s="19" t="str">
        <f>IF(INPUT_sheet!H79=0,"",(INPUT_sheet!H79)/1000)</f>
        <v/>
      </c>
      <c r="F79" s="19" t="str">
        <f>IF(INPUT_sheet!I79=0,"",(INPUT_sheet!I79)/1000)</f>
        <v/>
      </c>
      <c r="G79" s="19" t="str">
        <f>IF(INPUT_sheet!J79=0,"",(INPUT_sheet!J79)/1000)</f>
        <v/>
      </c>
    </row>
    <row r="80" spans="1:7">
      <c r="A80" s="17" t="str">
        <f t="shared" si="1"/>
        <v/>
      </c>
      <c r="B80" s="17" t="str">
        <f>IF(INPUT_sheet!$F80=0,"", IF(LEFT((INPUT_sheet!$F80),1)="(",RIGHT((INPUT_sheet!$F80),LEN(INPUT_sheet!$F80)-3), (INPUT_sheet!$F80)))</f>
        <v/>
      </c>
      <c r="C80" s="17" t="str">
        <f>IF(INPUT_sheet!M80=0, "", INPUT_sheet!M80)</f>
        <v/>
      </c>
      <c r="D80" s="24" t="str">
        <f>IF(INPUT_sheet!A80=0,"",INPUT_sheet!A80)</f>
        <v/>
      </c>
      <c r="E80" s="19" t="str">
        <f>IF(INPUT_sheet!H80=0,"",(INPUT_sheet!H80)/1000)</f>
        <v/>
      </c>
      <c r="F80" s="19" t="str">
        <f>IF(INPUT_sheet!I80=0,"",(INPUT_sheet!I80)/1000)</f>
        <v/>
      </c>
      <c r="G80" s="19" t="str">
        <f>IF(INPUT_sheet!J80=0,"",(INPUT_sheet!J80)/1000)</f>
        <v/>
      </c>
    </row>
    <row r="81" spans="1:7">
      <c r="A81" s="17" t="str">
        <f t="shared" si="1"/>
        <v/>
      </c>
      <c r="B81" s="17" t="str">
        <f>IF(INPUT_sheet!$F81=0,"", IF(LEFT((INPUT_sheet!$F81),1)="(",RIGHT((INPUT_sheet!$F81),LEN(INPUT_sheet!$F81)-3), (INPUT_sheet!$F81)))</f>
        <v/>
      </c>
      <c r="C81" s="17" t="str">
        <f>IF(INPUT_sheet!M81=0, "", INPUT_sheet!M81)</f>
        <v/>
      </c>
      <c r="D81" s="24" t="str">
        <f>IF(INPUT_sheet!A81=0,"",INPUT_sheet!A81)</f>
        <v/>
      </c>
      <c r="E81" s="19" t="str">
        <f>IF(INPUT_sheet!H81=0,"",(INPUT_sheet!H81)/1000)</f>
        <v/>
      </c>
      <c r="F81" s="19" t="str">
        <f>IF(INPUT_sheet!I81=0,"",(INPUT_sheet!I81)/1000)</f>
        <v/>
      </c>
      <c r="G81" s="19" t="str">
        <f>IF(INPUT_sheet!J81=0,"",(INPUT_sheet!J81)/1000)</f>
        <v/>
      </c>
    </row>
    <row r="82" spans="1:7">
      <c r="A82" s="17" t="str">
        <f t="shared" si="1"/>
        <v/>
      </c>
      <c r="B82" s="17" t="str">
        <f>IF(INPUT_sheet!$F82=0,"", IF(LEFT((INPUT_sheet!$F82),1)="(",RIGHT((INPUT_sheet!$F82),LEN(INPUT_sheet!$F82)-3), (INPUT_sheet!$F82)))</f>
        <v/>
      </c>
      <c r="C82" s="17" t="str">
        <f>IF(INPUT_sheet!M82=0, "", INPUT_sheet!M82)</f>
        <v/>
      </c>
      <c r="D82" s="24" t="str">
        <f>IF(INPUT_sheet!A82=0,"",INPUT_sheet!A82)</f>
        <v/>
      </c>
      <c r="E82" s="19" t="str">
        <f>IF(INPUT_sheet!H82=0,"",(INPUT_sheet!H82)/1000)</f>
        <v/>
      </c>
      <c r="F82" s="19" t="str">
        <f>IF(INPUT_sheet!I82=0,"",(INPUT_sheet!I82)/1000)</f>
        <v/>
      </c>
      <c r="G82" s="19" t="str">
        <f>IF(INPUT_sheet!J82=0,"",(INPUT_sheet!J82)/1000)</f>
        <v/>
      </c>
    </row>
    <row r="83" spans="1:7">
      <c r="A83" s="17" t="str">
        <f t="shared" si="1"/>
        <v/>
      </c>
      <c r="B83" s="17" t="str">
        <f>IF(INPUT_sheet!$F83=0,"", IF(LEFT((INPUT_sheet!$F83),1)="(",RIGHT((INPUT_sheet!$F83),LEN(INPUT_sheet!$F83)-3), (INPUT_sheet!$F83)))</f>
        <v/>
      </c>
      <c r="C83" s="17" t="str">
        <f>IF(INPUT_sheet!M83=0, "", INPUT_sheet!M83)</f>
        <v/>
      </c>
      <c r="D83" s="24" t="str">
        <f>IF(INPUT_sheet!A83=0,"",INPUT_sheet!A83)</f>
        <v/>
      </c>
      <c r="E83" s="19" t="str">
        <f>IF(INPUT_sheet!H83=0,"",(INPUT_sheet!H83)/1000)</f>
        <v/>
      </c>
      <c r="F83" s="19" t="str">
        <f>IF(INPUT_sheet!I83=0,"",(INPUT_sheet!I83)/1000)</f>
        <v/>
      </c>
      <c r="G83" s="19" t="str">
        <f>IF(INPUT_sheet!J83=0,"",(INPUT_sheet!J83)/1000)</f>
        <v/>
      </c>
    </row>
    <row r="84" spans="1:7">
      <c r="A84" s="17" t="str">
        <f t="shared" si="1"/>
        <v/>
      </c>
      <c r="B84" s="17" t="str">
        <f>IF(INPUT_sheet!$F84=0,"", IF(LEFT((INPUT_sheet!$F84),1)="(",RIGHT((INPUT_sheet!$F84),LEN(INPUT_sheet!$F84)-3), (INPUT_sheet!$F84)))</f>
        <v/>
      </c>
      <c r="C84" s="17" t="str">
        <f>IF(INPUT_sheet!M84=0, "", INPUT_sheet!M84)</f>
        <v/>
      </c>
      <c r="D84" s="24" t="str">
        <f>IF(INPUT_sheet!A84=0,"",INPUT_sheet!A84)</f>
        <v/>
      </c>
      <c r="E84" s="19" t="str">
        <f>IF(INPUT_sheet!H84=0,"",(INPUT_sheet!H84)/1000)</f>
        <v/>
      </c>
      <c r="F84" s="19" t="str">
        <f>IF(INPUT_sheet!I84=0,"",(INPUT_sheet!I84)/1000)</f>
        <v/>
      </c>
      <c r="G84" s="19" t="str">
        <f>IF(INPUT_sheet!J84=0,"",(INPUT_sheet!J84)/1000)</f>
        <v/>
      </c>
    </row>
    <row r="85" spans="1:7">
      <c r="A85" s="17" t="str">
        <f t="shared" si="1"/>
        <v/>
      </c>
      <c r="B85" s="17" t="str">
        <f>IF(INPUT_sheet!$F85=0,"", IF(LEFT((INPUT_sheet!$F85),1)="(",RIGHT((INPUT_sheet!$F85),LEN(INPUT_sheet!$F85)-3), (INPUT_sheet!$F85)))</f>
        <v/>
      </c>
      <c r="C85" s="17" t="str">
        <f>IF(INPUT_sheet!M85=0, "", INPUT_sheet!M85)</f>
        <v/>
      </c>
      <c r="D85" s="24" t="str">
        <f>IF(INPUT_sheet!A85=0,"",INPUT_sheet!A85)</f>
        <v/>
      </c>
      <c r="E85" s="19" t="str">
        <f>IF(INPUT_sheet!H85=0,"",(INPUT_sheet!H85)/1000)</f>
        <v/>
      </c>
      <c r="F85" s="19" t="str">
        <f>IF(INPUT_sheet!I85=0,"",(INPUT_sheet!I85)/1000)</f>
        <v/>
      </c>
      <c r="G85" s="19" t="str">
        <f>IF(INPUT_sheet!J85=0,"",(INPUT_sheet!J85)/1000)</f>
        <v/>
      </c>
    </row>
    <row r="86" spans="1:7">
      <c r="A86" s="17" t="str">
        <f t="shared" si="1"/>
        <v/>
      </c>
      <c r="B86" s="17" t="str">
        <f>IF(INPUT_sheet!$F86=0,"", IF(LEFT((INPUT_sheet!$F86),1)="(",RIGHT((INPUT_sheet!$F86),LEN(INPUT_sheet!$F86)-3), (INPUT_sheet!$F86)))</f>
        <v/>
      </c>
      <c r="C86" s="17" t="str">
        <f>IF(INPUT_sheet!M86=0, "", INPUT_sheet!M86)</f>
        <v/>
      </c>
      <c r="D86" s="24" t="str">
        <f>IF(INPUT_sheet!A86=0,"",INPUT_sheet!A86)</f>
        <v/>
      </c>
      <c r="E86" s="19" t="str">
        <f>IF(INPUT_sheet!H86=0,"",(INPUT_sheet!H86)/1000)</f>
        <v/>
      </c>
      <c r="F86" s="19" t="str">
        <f>IF(INPUT_sheet!I86=0,"",(INPUT_sheet!I86)/1000)</f>
        <v/>
      </c>
      <c r="G86" s="19" t="str">
        <f>IF(INPUT_sheet!J86=0,"",(INPUT_sheet!J86)/1000)</f>
        <v/>
      </c>
    </row>
    <row r="87" spans="1:7">
      <c r="A87" s="17" t="str">
        <f t="shared" si="1"/>
        <v/>
      </c>
      <c r="B87" s="17" t="str">
        <f>IF(INPUT_sheet!$F87=0,"", IF(LEFT((INPUT_sheet!$F87),1)="(",RIGHT((INPUT_sheet!$F87),LEN(INPUT_sheet!$F87)-3), (INPUT_sheet!$F87)))</f>
        <v/>
      </c>
      <c r="C87" s="17" t="str">
        <f>IF(INPUT_sheet!M87=0, "", INPUT_sheet!M87)</f>
        <v/>
      </c>
      <c r="D87" s="24" t="str">
        <f>IF(INPUT_sheet!A87=0,"",INPUT_sheet!A87)</f>
        <v/>
      </c>
      <c r="E87" s="19" t="str">
        <f>IF(INPUT_sheet!H87=0,"",(INPUT_sheet!H87)/1000)</f>
        <v/>
      </c>
      <c r="F87" s="19" t="str">
        <f>IF(INPUT_sheet!I87=0,"",(INPUT_sheet!I87)/1000)</f>
        <v/>
      </c>
      <c r="G87" s="19" t="str">
        <f>IF(INPUT_sheet!J87=0,"",(INPUT_sheet!J87)/1000)</f>
        <v/>
      </c>
    </row>
    <row r="88" spans="1:7">
      <c r="A88" s="17" t="str">
        <f t="shared" si="1"/>
        <v/>
      </c>
      <c r="B88" s="17" t="str">
        <f>IF(INPUT_sheet!$F88=0,"", IF(LEFT((INPUT_sheet!$F88),1)="(",RIGHT((INPUT_sheet!$F88),LEN(INPUT_sheet!$F88)-3), (INPUT_sheet!$F88)))</f>
        <v/>
      </c>
      <c r="C88" s="17" t="str">
        <f>IF(INPUT_sheet!M88=0, "", INPUT_sheet!M88)</f>
        <v/>
      </c>
      <c r="D88" s="24" t="str">
        <f>IF(INPUT_sheet!A88=0,"",INPUT_sheet!A88)</f>
        <v/>
      </c>
      <c r="E88" s="19" t="str">
        <f>IF(INPUT_sheet!H88=0,"",(INPUT_sheet!H88)/1000)</f>
        <v/>
      </c>
      <c r="F88" s="19" t="str">
        <f>IF(INPUT_sheet!I88=0,"",(INPUT_sheet!I88)/1000)</f>
        <v/>
      </c>
      <c r="G88" s="19" t="str">
        <f>IF(INPUT_sheet!J88=0,"",(INPUT_sheet!J88)/1000)</f>
        <v/>
      </c>
    </row>
    <row r="89" spans="1:7">
      <c r="A89" s="17" t="str">
        <f t="shared" si="1"/>
        <v/>
      </c>
      <c r="B89" s="17" t="str">
        <f>IF(INPUT_sheet!$F89=0,"", IF(LEFT((INPUT_sheet!$F89),1)="(",RIGHT((INPUT_sheet!$F89),LEN(INPUT_sheet!$F89)-3), (INPUT_sheet!$F89)))</f>
        <v/>
      </c>
      <c r="C89" s="17" t="str">
        <f>IF(INPUT_sheet!M89=0, "", INPUT_sheet!M89)</f>
        <v/>
      </c>
      <c r="D89" s="24" t="str">
        <f>IF(INPUT_sheet!A89=0,"",INPUT_sheet!A89)</f>
        <v/>
      </c>
      <c r="E89" s="19" t="str">
        <f>IF(INPUT_sheet!H89=0,"",(INPUT_sheet!H89)/1000)</f>
        <v/>
      </c>
      <c r="F89" s="19" t="str">
        <f>IF(INPUT_sheet!I89=0,"",(INPUT_sheet!I89)/1000)</f>
        <v/>
      </c>
      <c r="G89" s="19" t="str">
        <f>IF(INPUT_sheet!J89=0,"",(INPUT_sheet!J89)/1000)</f>
        <v/>
      </c>
    </row>
    <row r="90" spans="1:7">
      <c r="A90" s="17" t="str">
        <f t="shared" si="1"/>
        <v/>
      </c>
      <c r="B90" s="17" t="str">
        <f>IF(INPUT_sheet!$F90=0,"", IF(LEFT((INPUT_sheet!$F90),1)="(",RIGHT((INPUT_sheet!$F90),LEN(INPUT_sheet!$F90)-3), (INPUT_sheet!$F90)))</f>
        <v/>
      </c>
      <c r="C90" s="17" t="str">
        <f>IF(INPUT_sheet!M90=0, "", INPUT_sheet!M90)</f>
        <v/>
      </c>
      <c r="D90" s="24" t="str">
        <f>IF(INPUT_sheet!A90=0,"",INPUT_sheet!A90)</f>
        <v/>
      </c>
      <c r="E90" s="19" t="str">
        <f>IF(INPUT_sheet!H90=0,"",(INPUT_sheet!H90)/1000)</f>
        <v/>
      </c>
      <c r="F90" s="19" t="str">
        <f>IF(INPUT_sheet!I90=0,"",(INPUT_sheet!I90)/1000)</f>
        <v/>
      </c>
      <c r="G90" s="19" t="str">
        <f>IF(INPUT_sheet!J90=0,"",(INPUT_sheet!J90)/1000)</f>
        <v/>
      </c>
    </row>
    <row r="91" spans="1:7">
      <c r="A91" s="17" t="str">
        <f t="shared" si="1"/>
        <v/>
      </c>
      <c r="B91" s="17" t="str">
        <f>IF(INPUT_sheet!$F91=0,"", IF(LEFT((INPUT_sheet!$F91),1)="(",RIGHT((INPUT_sheet!$F91),LEN(INPUT_sheet!$F91)-3), (INPUT_sheet!$F91)))</f>
        <v/>
      </c>
      <c r="C91" s="17" t="str">
        <f>IF(INPUT_sheet!M91=0, "", INPUT_sheet!M91)</f>
        <v/>
      </c>
      <c r="D91" s="24" t="str">
        <f>IF(INPUT_sheet!A91=0,"",INPUT_sheet!A91)</f>
        <v/>
      </c>
      <c r="E91" s="19" t="str">
        <f>IF(INPUT_sheet!H91=0,"",(INPUT_sheet!H91)/1000)</f>
        <v/>
      </c>
      <c r="F91" s="19" t="str">
        <f>IF(INPUT_sheet!I91=0,"",(INPUT_sheet!I91)/1000)</f>
        <v/>
      </c>
      <c r="G91" s="19" t="str">
        <f>IF(INPUT_sheet!J91=0,"",(INPUT_sheet!J91)/1000)</f>
        <v/>
      </c>
    </row>
    <row r="92" spans="1:7">
      <c r="A92" s="17" t="str">
        <f t="shared" si="1"/>
        <v/>
      </c>
      <c r="B92" s="17" t="str">
        <f>IF(INPUT_sheet!$F92=0,"", IF(LEFT((INPUT_sheet!$F92),1)="(",RIGHT((INPUT_sheet!$F92),LEN(INPUT_sheet!$F92)-3), (INPUT_sheet!$F92)))</f>
        <v/>
      </c>
      <c r="C92" s="17" t="str">
        <f>IF(INPUT_sheet!M92=0, "", INPUT_sheet!M92)</f>
        <v/>
      </c>
      <c r="D92" s="24" t="str">
        <f>IF(INPUT_sheet!A92=0,"",INPUT_sheet!A92)</f>
        <v/>
      </c>
      <c r="E92" s="19" t="str">
        <f>IF(INPUT_sheet!H92=0,"",(INPUT_sheet!H92)/1000)</f>
        <v/>
      </c>
      <c r="F92" s="19" t="str">
        <f>IF(INPUT_sheet!I92=0,"",(INPUT_sheet!I92)/1000)</f>
        <v/>
      </c>
      <c r="G92" s="19" t="str">
        <f>IF(INPUT_sheet!J92=0,"",(INPUT_sheet!J92)/1000)</f>
        <v/>
      </c>
    </row>
    <row r="93" spans="1:7">
      <c r="A93" s="17" t="str">
        <f t="shared" si="1"/>
        <v/>
      </c>
      <c r="B93" s="17" t="str">
        <f>IF(INPUT_sheet!$F93=0,"", IF(LEFT((INPUT_sheet!$F93),1)="(",RIGHT((INPUT_sheet!$F93),LEN(INPUT_sheet!$F93)-3), (INPUT_sheet!$F93)))</f>
        <v/>
      </c>
      <c r="C93" s="17" t="str">
        <f>IF(INPUT_sheet!M93=0, "", INPUT_sheet!M93)</f>
        <v/>
      </c>
      <c r="D93" s="24" t="str">
        <f>IF(INPUT_sheet!A93=0,"",INPUT_sheet!A93)</f>
        <v/>
      </c>
      <c r="E93" s="19" t="str">
        <f>IF(INPUT_sheet!H93=0,"",(INPUT_sheet!H93)/1000)</f>
        <v/>
      </c>
      <c r="F93" s="19" t="str">
        <f>IF(INPUT_sheet!I93=0,"",(INPUT_sheet!I93)/1000)</f>
        <v/>
      </c>
      <c r="G93" s="19" t="str">
        <f>IF(INPUT_sheet!J93=0,"",(INPUT_sheet!J93)/1000)</f>
        <v/>
      </c>
    </row>
    <row r="94" spans="1:7">
      <c r="A94" s="17" t="str">
        <f t="shared" si="1"/>
        <v/>
      </c>
      <c r="B94" s="17" t="str">
        <f>IF(INPUT_sheet!$F94=0,"", IF(LEFT((INPUT_sheet!$F94),1)="(",RIGHT((INPUT_sheet!$F94),LEN(INPUT_sheet!$F94)-3), (INPUT_sheet!$F94)))</f>
        <v/>
      </c>
      <c r="C94" s="17" t="str">
        <f>IF(INPUT_sheet!M94=0, "", INPUT_sheet!M94)</f>
        <v/>
      </c>
      <c r="D94" s="24" t="str">
        <f>IF(INPUT_sheet!A94=0,"",INPUT_sheet!A94)</f>
        <v/>
      </c>
      <c r="E94" s="19" t="str">
        <f>IF(INPUT_sheet!H94=0,"",(INPUT_sheet!H94)/1000)</f>
        <v/>
      </c>
      <c r="F94" s="19" t="str">
        <f>IF(INPUT_sheet!I94=0,"",(INPUT_sheet!I94)/1000)</f>
        <v/>
      </c>
      <c r="G94" s="19" t="str">
        <f>IF(INPUT_sheet!J94=0,"",(INPUT_sheet!J94)/1000)</f>
        <v/>
      </c>
    </row>
    <row r="95" spans="1:7">
      <c r="A95" s="17" t="str">
        <f t="shared" si="1"/>
        <v/>
      </c>
      <c r="B95" s="17" t="str">
        <f>IF(INPUT_sheet!$F95=0,"", IF(LEFT((INPUT_sheet!$F95),1)="(",RIGHT((INPUT_sheet!$F95),LEN(INPUT_sheet!$F95)-3), (INPUT_sheet!$F95)))</f>
        <v/>
      </c>
      <c r="C95" s="17" t="str">
        <f>IF(INPUT_sheet!M95=0, "", INPUT_sheet!M95)</f>
        <v/>
      </c>
      <c r="D95" s="24" t="str">
        <f>IF(INPUT_sheet!A95=0,"",INPUT_sheet!A95)</f>
        <v/>
      </c>
      <c r="E95" s="19" t="str">
        <f>IF(INPUT_sheet!H95=0,"",(INPUT_sheet!H95)/1000)</f>
        <v/>
      </c>
      <c r="F95" s="19" t="str">
        <f>IF(INPUT_sheet!I95=0,"",(INPUT_sheet!I95)/1000)</f>
        <v/>
      </c>
      <c r="G95" s="19" t="str">
        <f>IF(INPUT_sheet!J95=0,"",(INPUT_sheet!J95)/1000)</f>
        <v/>
      </c>
    </row>
    <row r="96" spans="1:7">
      <c r="A96" s="17" t="str">
        <f t="shared" si="1"/>
        <v/>
      </c>
      <c r="B96" s="17" t="str">
        <f>IF(INPUT_sheet!$F96=0,"", IF(LEFT((INPUT_sheet!$F96),1)="(",RIGHT((INPUT_sheet!$F96),LEN(INPUT_sheet!$F96)-3), (INPUT_sheet!$F96)))</f>
        <v/>
      </c>
      <c r="C96" s="17" t="str">
        <f>IF(INPUT_sheet!M96=0, "", INPUT_sheet!M96)</f>
        <v/>
      </c>
      <c r="D96" s="24" t="str">
        <f>IF(INPUT_sheet!A96=0,"",INPUT_sheet!A96)</f>
        <v/>
      </c>
      <c r="E96" s="19" t="str">
        <f>IF(INPUT_sheet!H96=0,"",(INPUT_sheet!H96)/1000)</f>
        <v/>
      </c>
      <c r="F96" s="19" t="str">
        <f>IF(INPUT_sheet!I96=0,"",(INPUT_sheet!I96)/1000)</f>
        <v/>
      </c>
      <c r="G96" s="19" t="str">
        <f>IF(INPUT_sheet!J96=0,"",(INPUT_sheet!J96)/1000)</f>
        <v/>
      </c>
    </row>
    <row r="97" spans="1:7">
      <c r="A97" s="17" t="str">
        <f t="shared" si="1"/>
        <v/>
      </c>
      <c r="B97" s="17" t="str">
        <f>IF(INPUT_sheet!$F97=0,"", IF(LEFT((INPUT_sheet!$F97),1)="(",RIGHT((INPUT_sheet!$F97),LEN(INPUT_sheet!$F97)-3), (INPUT_sheet!$F97)))</f>
        <v/>
      </c>
      <c r="C97" s="17" t="str">
        <f>IF(INPUT_sheet!M97=0, "", INPUT_sheet!M97)</f>
        <v/>
      </c>
      <c r="D97" s="24" t="str">
        <f>IF(INPUT_sheet!A97=0,"",INPUT_sheet!A97)</f>
        <v/>
      </c>
      <c r="E97" s="19" t="str">
        <f>IF(INPUT_sheet!H97=0,"",(INPUT_sheet!H97)/1000)</f>
        <v/>
      </c>
      <c r="F97" s="19" t="str">
        <f>IF(INPUT_sheet!I97=0,"",(INPUT_sheet!I97)/1000)</f>
        <v/>
      </c>
      <c r="G97" s="19" t="str">
        <f>IF(INPUT_sheet!J97=0,"",(INPUT_sheet!J97)/1000)</f>
        <v/>
      </c>
    </row>
    <row r="98" spans="1:7">
      <c r="A98" s="17" t="str">
        <f t="shared" si="1"/>
        <v/>
      </c>
      <c r="B98" s="17" t="str">
        <f>IF(INPUT_sheet!$F98=0,"", IF(LEFT((INPUT_sheet!$F98),1)="(",RIGHT((INPUT_sheet!$F98),LEN(INPUT_sheet!$F98)-3), (INPUT_sheet!$F98)))</f>
        <v/>
      </c>
      <c r="C98" s="17" t="str">
        <f>IF(INPUT_sheet!M98=0, "", INPUT_sheet!M98)</f>
        <v/>
      </c>
      <c r="D98" s="24" t="str">
        <f>IF(INPUT_sheet!A98=0,"",INPUT_sheet!A98)</f>
        <v/>
      </c>
      <c r="E98" s="19" t="str">
        <f>IF(INPUT_sheet!H98=0,"",(INPUT_sheet!H98)/1000)</f>
        <v/>
      </c>
      <c r="F98" s="19" t="str">
        <f>IF(INPUT_sheet!I98=0,"",(INPUT_sheet!I98)/1000)</f>
        <v/>
      </c>
      <c r="G98" s="19" t="str">
        <f>IF(INPUT_sheet!J98=0,"",(INPUT_sheet!J98)/1000)</f>
        <v/>
      </c>
    </row>
    <row r="99" spans="1:7">
      <c r="A99" s="17" t="str">
        <f t="shared" si="1"/>
        <v/>
      </c>
      <c r="B99" s="17" t="str">
        <f>IF(INPUT_sheet!$F99=0,"", IF(LEFT((INPUT_sheet!$F99),1)="(",RIGHT((INPUT_sheet!$F99),LEN(INPUT_sheet!$F99)-3), (INPUT_sheet!$F99)))</f>
        <v/>
      </c>
      <c r="C99" s="17" t="str">
        <f>IF(INPUT_sheet!M99=0, "", INPUT_sheet!M99)</f>
        <v/>
      </c>
      <c r="D99" s="24" t="str">
        <f>IF(INPUT_sheet!A99=0,"",INPUT_sheet!A99)</f>
        <v/>
      </c>
      <c r="E99" s="19" t="str">
        <f>IF(INPUT_sheet!H99=0,"",(INPUT_sheet!H99)/1000)</f>
        <v/>
      </c>
      <c r="F99" s="19" t="str">
        <f>IF(INPUT_sheet!I99=0,"",(INPUT_sheet!I99)/1000)</f>
        <v/>
      </c>
      <c r="G99" s="19" t="str">
        <f>IF(INPUT_sheet!J99=0,"",(INPUT_sheet!J99)/1000)</f>
        <v/>
      </c>
    </row>
    <row r="100" spans="1:7">
      <c r="A100" s="17" t="str">
        <f t="shared" si="1"/>
        <v/>
      </c>
      <c r="B100" s="17" t="str">
        <f>IF(INPUT_sheet!$F100=0,"", IF(LEFT((INPUT_sheet!$F100),1)="(",RIGHT((INPUT_sheet!$F100),LEN(INPUT_sheet!$F100)-3), (INPUT_sheet!$F100)))</f>
        <v/>
      </c>
      <c r="C100" s="17" t="str">
        <f>IF(INPUT_sheet!M100=0, "", INPUT_sheet!M100)</f>
        <v/>
      </c>
      <c r="D100" s="24" t="str">
        <f>IF(INPUT_sheet!A100=0,"",INPUT_sheet!A100)</f>
        <v/>
      </c>
      <c r="E100" s="19" t="str">
        <f>IF(INPUT_sheet!H100=0,"",(INPUT_sheet!H100)/1000)</f>
        <v/>
      </c>
      <c r="F100" s="19" t="str">
        <f>IF(INPUT_sheet!I100=0,"",(INPUT_sheet!I100)/1000)</f>
        <v/>
      </c>
      <c r="G100" s="19" t="str">
        <f>IF(INPUT_sheet!J100=0,"",(INPUT_sheet!J100)/1000)</f>
        <v/>
      </c>
    </row>
    <row r="101" spans="1:7">
      <c r="A101" s="17" t="str">
        <f t="shared" si="1"/>
        <v/>
      </c>
      <c r="B101" s="17" t="str">
        <f>IF(INPUT_sheet!$F101=0,"", IF(LEFT((INPUT_sheet!$F101),1)="(",RIGHT((INPUT_sheet!$F101),LEN(INPUT_sheet!$F101)-3), (INPUT_sheet!$F101)))</f>
        <v/>
      </c>
      <c r="C101" s="17" t="str">
        <f>IF(INPUT_sheet!M101=0, "", INPUT_sheet!M101)</f>
        <v/>
      </c>
      <c r="D101" s="24" t="str">
        <f>IF(INPUT_sheet!A101=0,"",INPUT_sheet!A101)</f>
        <v/>
      </c>
      <c r="E101" s="19" t="str">
        <f>IF(INPUT_sheet!H101=0,"",(INPUT_sheet!H101)/1000)</f>
        <v/>
      </c>
      <c r="F101" s="19" t="str">
        <f>IF(INPUT_sheet!I101=0,"",(INPUT_sheet!I101)/1000)</f>
        <v/>
      </c>
      <c r="G101" s="19" t="str">
        <f>IF(INPUT_sheet!J101=0,"",(INPUT_sheet!J101)/1000)</f>
        <v/>
      </c>
    </row>
    <row r="102" spans="1:7">
      <c r="A102" s="17" t="str">
        <f t="shared" si="1"/>
        <v/>
      </c>
      <c r="B102" s="17" t="str">
        <f>IF(INPUT_sheet!$F102=0,"", IF(LEFT((INPUT_sheet!$F102),1)="(",RIGHT((INPUT_sheet!$F102),LEN(INPUT_sheet!$F102)-3), (INPUT_sheet!$F102)))</f>
        <v/>
      </c>
      <c r="C102" s="17" t="str">
        <f>IF(INPUT_sheet!M102=0, "", INPUT_sheet!M102)</f>
        <v/>
      </c>
      <c r="D102" s="24" t="str">
        <f>IF(INPUT_sheet!A102=0,"",INPUT_sheet!A102)</f>
        <v/>
      </c>
      <c r="E102" s="19" t="str">
        <f>IF(INPUT_sheet!H102=0,"",(INPUT_sheet!H102)/1000)</f>
        <v/>
      </c>
      <c r="F102" s="19" t="str">
        <f>IF(INPUT_sheet!I102=0,"",(INPUT_sheet!I102)/1000)</f>
        <v/>
      </c>
      <c r="G102" s="19" t="str">
        <f>IF(INPUT_sheet!J102=0,"",(INPUT_sheet!J102)/1000)</f>
        <v/>
      </c>
    </row>
    <row r="103" spans="1:7">
      <c r="A103" s="17" t="str">
        <f t="shared" si="1"/>
        <v/>
      </c>
      <c r="B103" s="17" t="str">
        <f>IF(INPUT_sheet!$F103=0,"", IF(LEFT((INPUT_sheet!$F103),1)="(",RIGHT((INPUT_sheet!$F103),LEN(INPUT_sheet!$F103)-3), (INPUT_sheet!$F103)))</f>
        <v/>
      </c>
      <c r="C103" s="17" t="str">
        <f>IF(INPUT_sheet!M103=0, "", INPUT_sheet!M103)</f>
        <v/>
      </c>
      <c r="D103" s="24" t="str">
        <f>IF(INPUT_sheet!A103=0,"",INPUT_sheet!A103)</f>
        <v/>
      </c>
      <c r="E103" s="19" t="str">
        <f>IF(INPUT_sheet!H103=0,"",(INPUT_sheet!H103)/1000)</f>
        <v/>
      </c>
      <c r="F103" s="19" t="str">
        <f>IF(INPUT_sheet!I103=0,"",(INPUT_sheet!I103)/1000)</f>
        <v/>
      </c>
      <c r="G103" s="19" t="str">
        <f>IF(INPUT_sheet!J103=0,"",(INPUT_sheet!J103)/1000)</f>
        <v/>
      </c>
    </row>
    <row r="104" spans="1:7">
      <c r="A104" s="17" t="str">
        <f t="shared" si="1"/>
        <v/>
      </c>
      <c r="B104" s="17" t="str">
        <f>IF(INPUT_sheet!$F104=0,"", IF(LEFT((INPUT_sheet!$F104),1)="(",RIGHT((INPUT_sheet!$F104),LEN(INPUT_sheet!$F104)-3), (INPUT_sheet!$F104)))</f>
        <v/>
      </c>
      <c r="C104" s="17" t="str">
        <f>IF(INPUT_sheet!M104=0, "", INPUT_sheet!M104)</f>
        <v/>
      </c>
      <c r="D104" s="24" t="str">
        <f>IF(INPUT_sheet!A104=0,"",INPUT_sheet!A104)</f>
        <v/>
      </c>
      <c r="E104" s="19" t="str">
        <f>IF(INPUT_sheet!H104=0,"",(INPUT_sheet!H104)/1000)</f>
        <v/>
      </c>
      <c r="F104" s="19" t="str">
        <f>IF(INPUT_sheet!I104=0,"",(INPUT_sheet!I104)/1000)</f>
        <v/>
      </c>
      <c r="G104" s="19" t="str">
        <f>IF(INPUT_sheet!J104=0,"",(INPUT_sheet!J104)/1000)</f>
        <v/>
      </c>
    </row>
    <row r="105" spans="1:7">
      <c r="A105" s="17" t="str">
        <f t="shared" si="1"/>
        <v/>
      </c>
      <c r="B105" s="17" t="str">
        <f>IF(INPUT_sheet!$F105=0,"", IF(LEFT((INPUT_sheet!$F105),1)="(",RIGHT((INPUT_sheet!$F105),LEN(INPUT_sheet!$F105)-3), (INPUT_sheet!$F105)))</f>
        <v/>
      </c>
      <c r="C105" s="17" t="str">
        <f>IF(INPUT_sheet!M105=0, "", INPUT_sheet!M105)</f>
        <v/>
      </c>
      <c r="D105" s="24" t="str">
        <f>IF(INPUT_sheet!A105=0,"",INPUT_sheet!A105)</f>
        <v/>
      </c>
      <c r="E105" s="19" t="str">
        <f>IF(INPUT_sheet!H105=0,"",(INPUT_sheet!H105)/1000)</f>
        <v/>
      </c>
      <c r="F105" s="19" t="str">
        <f>IF(INPUT_sheet!I105=0,"",(INPUT_sheet!I105)/1000)</f>
        <v/>
      </c>
      <c r="G105" s="19" t="str">
        <f>IF(INPUT_sheet!J105=0,"",(INPUT_sheet!J105)/1000)</f>
        <v/>
      </c>
    </row>
    <row r="106" spans="1:7">
      <c r="A106" s="17" t="str">
        <f t="shared" si="1"/>
        <v/>
      </c>
      <c r="B106" s="17" t="str">
        <f>IF(INPUT_sheet!$F106=0,"", IF(LEFT((INPUT_sheet!$F106),1)="(",RIGHT((INPUT_sheet!$F106),LEN(INPUT_sheet!$F106)-3), (INPUT_sheet!$F106)))</f>
        <v/>
      </c>
      <c r="C106" s="17" t="str">
        <f>IF(INPUT_sheet!M106=0, "", INPUT_sheet!M106)</f>
        <v/>
      </c>
      <c r="D106" s="24" t="str">
        <f>IF(INPUT_sheet!A106=0,"",INPUT_sheet!A106)</f>
        <v/>
      </c>
      <c r="E106" s="19" t="str">
        <f>IF(INPUT_sheet!H106=0,"",(INPUT_sheet!H106)/1000)</f>
        <v/>
      </c>
      <c r="F106" s="19" t="str">
        <f>IF(INPUT_sheet!I106=0,"",(INPUT_sheet!I106)/1000)</f>
        <v/>
      </c>
      <c r="G106" s="19" t="str">
        <f>IF(INPUT_sheet!J106=0,"",(INPUT_sheet!J106)/1000)</f>
        <v/>
      </c>
    </row>
    <row r="107" spans="1:7">
      <c r="A107" s="17" t="str">
        <f t="shared" si="1"/>
        <v/>
      </c>
      <c r="B107" s="17" t="str">
        <f>IF(INPUT_sheet!$F107=0,"", IF(LEFT((INPUT_sheet!$F107),1)="(",RIGHT((INPUT_sheet!$F107),LEN(INPUT_sheet!$F107)-3), (INPUT_sheet!$F107)))</f>
        <v/>
      </c>
      <c r="C107" s="17" t="str">
        <f>IF(INPUT_sheet!M107=0, "", INPUT_sheet!M107)</f>
        <v/>
      </c>
      <c r="D107" s="24" t="str">
        <f>IF(INPUT_sheet!A107=0,"",INPUT_sheet!A107)</f>
        <v/>
      </c>
      <c r="E107" s="19" t="str">
        <f>IF(INPUT_sheet!H107=0,"",(INPUT_sheet!H107)/1000)</f>
        <v/>
      </c>
      <c r="F107" s="19" t="str">
        <f>IF(INPUT_sheet!I107=0,"",(INPUT_sheet!I107)/1000)</f>
        <v/>
      </c>
      <c r="G107" s="19" t="str">
        <f>IF(INPUT_sheet!J107=0,"",(INPUT_sheet!J107)/1000)</f>
        <v/>
      </c>
    </row>
    <row r="108" spans="1:7">
      <c r="A108" s="17" t="str">
        <f t="shared" si="1"/>
        <v/>
      </c>
      <c r="B108" s="17" t="str">
        <f>IF(INPUT_sheet!$F108=0,"", IF(LEFT((INPUT_sheet!$F108),1)="(",RIGHT((INPUT_sheet!$F108),LEN(INPUT_sheet!$F108)-3), (INPUT_sheet!$F108)))</f>
        <v/>
      </c>
      <c r="C108" s="17" t="str">
        <f>IF(INPUT_sheet!M108=0, "", INPUT_sheet!M108)</f>
        <v/>
      </c>
      <c r="D108" s="24" t="str">
        <f>IF(INPUT_sheet!A108=0,"",INPUT_sheet!A108)</f>
        <v/>
      </c>
      <c r="E108" s="19" t="str">
        <f>IF(INPUT_sheet!H108=0,"",(INPUT_sheet!H108)/1000)</f>
        <v/>
      </c>
      <c r="F108" s="19" t="str">
        <f>IF(INPUT_sheet!I108=0,"",(INPUT_sheet!I108)/1000)</f>
        <v/>
      </c>
      <c r="G108" s="19" t="str">
        <f>IF(INPUT_sheet!J108=0,"",(INPUT_sheet!J108)/1000)</f>
        <v/>
      </c>
    </row>
    <row r="109" spans="1:7">
      <c r="A109" s="17" t="str">
        <f t="shared" si="1"/>
        <v/>
      </c>
      <c r="B109" s="17" t="str">
        <f>IF(INPUT_sheet!$F109=0,"", IF(LEFT((INPUT_sheet!$F109),1)="(",RIGHT((INPUT_sheet!$F109),LEN(INPUT_sheet!$F109)-3), (INPUT_sheet!$F109)))</f>
        <v/>
      </c>
      <c r="C109" s="17" t="str">
        <f>IF(INPUT_sheet!M109=0, "", INPUT_sheet!M109)</f>
        <v/>
      </c>
      <c r="D109" s="24" t="str">
        <f>IF(INPUT_sheet!A109=0,"",INPUT_sheet!A109)</f>
        <v/>
      </c>
      <c r="E109" s="19" t="str">
        <f>IF(INPUT_sheet!H109=0,"",(INPUT_sheet!H109)/1000)</f>
        <v/>
      </c>
      <c r="F109" s="19" t="str">
        <f>IF(INPUT_sheet!I109=0,"",(INPUT_sheet!I109)/1000)</f>
        <v/>
      </c>
      <c r="G109" s="19" t="str">
        <f>IF(INPUT_sheet!J109=0,"",(INPUT_sheet!J109)/1000)</f>
        <v/>
      </c>
    </row>
    <row r="110" spans="1:7">
      <c r="A110" s="17" t="str">
        <f t="shared" si="1"/>
        <v/>
      </c>
      <c r="B110" s="17" t="str">
        <f>IF(INPUT_sheet!$F110=0,"", IF(LEFT((INPUT_sheet!$F110),1)="(",RIGHT((INPUT_sheet!$F110),LEN(INPUT_sheet!$F110)-3), (INPUT_sheet!$F110)))</f>
        <v/>
      </c>
      <c r="C110" s="17" t="str">
        <f>IF(INPUT_sheet!M110=0, "", INPUT_sheet!M110)</f>
        <v/>
      </c>
      <c r="D110" s="24" t="str">
        <f>IF(INPUT_sheet!A110=0,"",INPUT_sheet!A110)</f>
        <v/>
      </c>
      <c r="E110" s="19" t="str">
        <f>IF(INPUT_sheet!H110=0,"",(INPUT_sheet!H110)/1000)</f>
        <v/>
      </c>
      <c r="F110" s="19" t="str">
        <f>IF(INPUT_sheet!I110=0,"",(INPUT_sheet!I110)/1000)</f>
        <v/>
      </c>
      <c r="G110" s="19" t="str">
        <f>IF(INPUT_sheet!J110=0,"",(INPUT_sheet!J110)/1000)</f>
        <v/>
      </c>
    </row>
    <row r="111" spans="1:7">
      <c r="A111" s="17" t="str">
        <f t="shared" si="1"/>
        <v/>
      </c>
      <c r="B111" s="17" t="str">
        <f>IF(INPUT_sheet!$F111=0,"", IF(LEFT((INPUT_sheet!$F111),1)="(",RIGHT((INPUT_sheet!$F111),LEN(INPUT_sheet!$F111)-3), (INPUT_sheet!$F111)))</f>
        <v/>
      </c>
      <c r="C111" s="17" t="str">
        <f>IF(INPUT_sheet!M111=0, "", INPUT_sheet!M111)</f>
        <v/>
      </c>
      <c r="D111" s="24" t="str">
        <f>IF(INPUT_sheet!A111=0,"",INPUT_sheet!A111)</f>
        <v/>
      </c>
      <c r="E111" s="19" t="str">
        <f>IF(INPUT_sheet!H111=0,"",(INPUT_sheet!H111)/1000)</f>
        <v/>
      </c>
      <c r="F111" s="19" t="str">
        <f>IF(INPUT_sheet!I111=0,"",(INPUT_sheet!I111)/1000)</f>
        <v/>
      </c>
      <c r="G111" s="19" t="str">
        <f>IF(INPUT_sheet!J111=0,"",(INPUT_sheet!J111)/1000)</f>
        <v/>
      </c>
    </row>
    <row r="112" spans="1:7">
      <c r="A112" s="17" t="str">
        <f t="shared" si="1"/>
        <v/>
      </c>
      <c r="B112" s="17" t="str">
        <f>IF(INPUT_sheet!$F112=0,"", IF(LEFT((INPUT_sheet!$F112),1)="(",RIGHT((INPUT_sheet!$F112),LEN(INPUT_sheet!$F112)-3), (INPUT_sheet!$F112)))</f>
        <v/>
      </c>
      <c r="C112" s="17" t="str">
        <f>IF(INPUT_sheet!M112=0, "", INPUT_sheet!M112)</f>
        <v/>
      </c>
      <c r="D112" s="24" t="str">
        <f>IF(INPUT_sheet!A112=0,"",INPUT_sheet!A112)</f>
        <v/>
      </c>
      <c r="E112" s="19" t="str">
        <f>IF(INPUT_sheet!H112=0,"",(INPUT_sheet!H112)/1000)</f>
        <v/>
      </c>
      <c r="F112" s="19" t="str">
        <f>IF(INPUT_sheet!I112=0,"",(INPUT_sheet!I112)/1000)</f>
        <v/>
      </c>
      <c r="G112" s="19" t="str">
        <f>IF(INPUT_sheet!J112=0,"",(INPUT_sheet!J112)/1000)</f>
        <v/>
      </c>
    </row>
    <row r="113" spans="1:7">
      <c r="A113" s="17" t="str">
        <f t="shared" si="1"/>
        <v/>
      </c>
      <c r="B113" s="17" t="str">
        <f>IF(INPUT_sheet!$F113=0,"", IF(LEFT((INPUT_sheet!$F113),1)="(",RIGHT((INPUT_sheet!$F113),LEN(INPUT_sheet!$F113)-3), (INPUT_sheet!$F113)))</f>
        <v/>
      </c>
      <c r="C113" s="17" t="str">
        <f>IF(INPUT_sheet!M113=0, "", INPUT_sheet!M113)</f>
        <v/>
      </c>
      <c r="D113" s="24" t="str">
        <f>IF(INPUT_sheet!A113=0,"",INPUT_sheet!A113)</f>
        <v/>
      </c>
      <c r="E113" s="19" t="str">
        <f>IF(INPUT_sheet!H113=0,"",(INPUT_sheet!H113)/1000)</f>
        <v/>
      </c>
      <c r="F113" s="19" t="str">
        <f>IF(INPUT_sheet!I113=0,"",(INPUT_sheet!I113)/1000)</f>
        <v/>
      </c>
      <c r="G113" s="19" t="str">
        <f>IF(INPUT_sheet!J113=0,"",(INPUT_sheet!J113)/1000)</f>
        <v/>
      </c>
    </row>
    <row r="114" spans="1:7">
      <c r="A114" s="17" t="str">
        <f t="shared" si="1"/>
        <v/>
      </c>
      <c r="B114" s="17" t="str">
        <f>IF(INPUT_sheet!$F114=0,"", IF(LEFT((INPUT_sheet!$F114),1)="(",RIGHT((INPUT_sheet!$F114),LEN(INPUT_sheet!$F114)-3), (INPUT_sheet!$F114)))</f>
        <v/>
      </c>
      <c r="C114" s="17" t="str">
        <f>IF(INPUT_sheet!M114=0, "", INPUT_sheet!M114)</f>
        <v/>
      </c>
      <c r="D114" s="24" t="str">
        <f>IF(INPUT_sheet!A114=0,"",INPUT_sheet!A114)</f>
        <v/>
      </c>
      <c r="E114" s="19" t="str">
        <f>IF(INPUT_sheet!H114=0,"",(INPUT_sheet!H114)/1000)</f>
        <v/>
      </c>
      <c r="F114" s="19" t="str">
        <f>IF(INPUT_sheet!I114=0,"",(INPUT_sheet!I114)/1000)</f>
        <v/>
      </c>
      <c r="G114" s="19" t="str">
        <f>IF(INPUT_sheet!J114=0,"",(INPUT_sheet!J114)/1000)</f>
        <v/>
      </c>
    </row>
    <row r="115" spans="1:7">
      <c r="A115" s="17" t="str">
        <f t="shared" si="1"/>
        <v/>
      </c>
      <c r="B115" s="17" t="str">
        <f>IF(INPUT_sheet!$F115=0,"", IF(LEFT((INPUT_sheet!$F115),1)="(",RIGHT((INPUT_sheet!$F115),LEN(INPUT_sheet!$F115)-3), (INPUT_sheet!$F115)))</f>
        <v/>
      </c>
      <c r="C115" s="17" t="str">
        <f>IF(INPUT_sheet!M115=0, "", INPUT_sheet!M115)</f>
        <v/>
      </c>
      <c r="D115" s="24" t="str">
        <f>IF(INPUT_sheet!A115=0,"",INPUT_sheet!A115)</f>
        <v/>
      </c>
      <c r="E115" s="19" t="str">
        <f>IF(INPUT_sheet!H115=0,"",(INPUT_sheet!H115)/1000)</f>
        <v/>
      </c>
      <c r="F115" s="19" t="str">
        <f>IF(INPUT_sheet!I115=0,"",(INPUT_sheet!I115)/1000)</f>
        <v/>
      </c>
      <c r="G115" s="19" t="str">
        <f>IF(INPUT_sheet!J115=0,"",(INPUT_sheet!J115)/1000)</f>
        <v/>
      </c>
    </row>
    <row r="116" spans="1:7">
      <c r="A116" s="17" t="str">
        <f t="shared" si="1"/>
        <v/>
      </c>
      <c r="B116" s="17" t="str">
        <f>IF(INPUT_sheet!$F116=0,"", IF(LEFT((INPUT_sheet!$F116),1)="(",RIGHT((INPUT_sheet!$F116),LEN(INPUT_sheet!$F116)-3), (INPUT_sheet!$F116)))</f>
        <v/>
      </c>
      <c r="C116" s="17" t="str">
        <f>IF(INPUT_sheet!M116=0, "", INPUT_sheet!M116)</f>
        <v/>
      </c>
      <c r="D116" s="24" t="str">
        <f>IF(INPUT_sheet!A116=0,"",INPUT_sheet!A116)</f>
        <v/>
      </c>
      <c r="E116" s="19" t="str">
        <f>IF(INPUT_sheet!H116=0,"",(INPUT_sheet!H116)/1000)</f>
        <v/>
      </c>
      <c r="F116" s="19" t="str">
        <f>IF(INPUT_sheet!I116=0,"",(INPUT_sheet!I116)/1000)</f>
        <v/>
      </c>
      <c r="G116" s="19" t="str">
        <f>IF(INPUT_sheet!J116=0,"",(INPUT_sheet!J116)/1000)</f>
        <v/>
      </c>
    </row>
    <row r="117" spans="1:7">
      <c r="A117" s="17" t="str">
        <f t="shared" si="1"/>
        <v/>
      </c>
      <c r="B117" s="17" t="str">
        <f>IF(INPUT_sheet!$F117=0,"", IF(LEFT((INPUT_sheet!$F117),1)="(",RIGHT((INPUT_sheet!$F117),LEN(INPUT_sheet!$F117)-3), (INPUT_sheet!$F117)))</f>
        <v/>
      </c>
      <c r="C117" s="17" t="str">
        <f>IF(INPUT_sheet!M117=0, "", INPUT_sheet!M117)</f>
        <v/>
      </c>
      <c r="D117" s="24" t="str">
        <f>IF(INPUT_sheet!A117=0,"",INPUT_sheet!A117)</f>
        <v/>
      </c>
      <c r="E117" s="19" t="str">
        <f>IF(INPUT_sheet!H117=0,"",(INPUT_sheet!H117)/1000)</f>
        <v/>
      </c>
      <c r="F117" s="19" t="str">
        <f>IF(INPUT_sheet!I117=0,"",(INPUT_sheet!I117)/1000)</f>
        <v/>
      </c>
      <c r="G117" s="19" t="str">
        <f>IF(INPUT_sheet!J117=0,"",(INPUT_sheet!J117)/1000)</f>
        <v/>
      </c>
    </row>
    <row r="118" spans="1:7">
      <c r="A118" s="17" t="str">
        <f t="shared" si="1"/>
        <v/>
      </c>
      <c r="B118" s="17" t="str">
        <f>IF(INPUT_sheet!$F118=0,"", IF(LEFT((INPUT_sheet!$F118),1)="(",RIGHT((INPUT_sheet!$F118),LEN(INPUT_sheet!$F118)-3), (INPUT_sheet!$F118)))</f>
        <v/>
      </c>
      <c r="C118" s="17" t="str">
        <f>IF(INPUT_sheet!M118=0, "", INPUT_sheet!M118)</f>
        <v/>
      </c>
      <c r="D118" s="24" t="str">
        <f>IF(INPUT_sheet!A118=0,"",INPUT_sheet!A118)</f>
        <v/>
      </c>
      <c r="E118" s="19" t="str">
        <f>IF(INPUT_sheet!H118=0,"",(INPUT_sheet!H118)/1000)</f>
        <v/>
      </c>
      <c r="F118" s="19" t="str">
        <f>IF(INPUT_sheet!I118=0,"",(INPUT_sheet!I118)/1000)</f>
        <v/>
      </c>
      <c r="G118" s="19" t="str">
        <f>IF(INPUT_sheet!J118=0,"",(INPUT_sheet!J118)/1000)</f>
        <v/>
      </c>
    </row>
    <row r="119" spans="1:7">
      <c r="A119" s="17" t="str">
        <f t="shared" si="1"/>
        <v/>
      </c>
      <c r="B119" s="17" t="str">
        <f>IF(INPUT_sheet!$F119=0,"", IF(LEFT((INPUT_sheet!$F119),1)="(",RIGHT((INPUT_sheet!$F119),LEN(INPUT_sheet!$F119)-3), (INPUT_sheet!$F119)))</f>
        <v/>
      </c>
      <c r="C119" s="17" t="str">
        <f>IF(INPUT_sheet!M119=0, "", INPUT_sheet!M119)</f>
        <v/>
      </c>
      <c r="D119" s="24" t="str">
        <f>IF(INPUT_sheet!A119=0,"",INPUT_sheet!A119)</f>
        <v/>
      </c>
      <c r="E119" s="19" t="str">
        <f>IF(INPUT_sheet!H119=0,"",(INPUT_sheet!H119)/1000)</f>
        <v/>
      </c>
      <c r="F119" s="19" t="str">
        <f>IF(INPUT_sheet!I119=0,"",(INPUT_sheet!I119)/1000)</f>
        <v/>
      </c>
      <c r="G119" s="19" t="str">
        <f>IF(INPUT_sheet!J119=0,"",(INPUT_sheet!J119)/1000)</f>
        <v/>
      </c>
    </row>
    <row r="120" spans="1:7">
      <c r="A120" s="17" t="str">
        <f t="shared" si="1"/>
        <v/>
      </c>
      <c r="B120" s="17" t="str">
        <f>IF(INPUT_sheet!$F120=0,"", IF(LEFT((INPUT_sheet!$F120),1)="(",RIGHT((INPUT_sheet!$F120),LEN(INPUT_sheet!$F120)-3), (INPUT_sheet!$F120)))</f>
        <v/>
      </c>
      <c r="C120" s="17" t="str">
        <f>IF(INPUT_sheet!M120=0, "", INPUT_sheet!M120)</f>
        <v/>
      </c>
      <c r="D120" s="24" t="str">
        <f>IF(INPUT_sheet!A120=0,"",INPUT_sheet!A120)</f>
        <v/>
      </c>
      <c r="E120" s="19" t="str">
        <f>IF(INPUT_sheet!H120=0,"",(INPUT_sheet!H120)/1000)</f>
        <v/>
      </c>
      <c r="F120" s="19" t="str">
        <f>IF(INPUT_sheet!I120=0,"",(INPUT_sheet!I120)/1000)</f>
        <v/>
      </c>
      <c r="G120" s="19" t="str">
        <f>IF(INPUT_sheet!J120=0,"",(INPUT_sheet!J120)/1000)</f>
        <v/>
      </c>
    </row>
    <row r="121" spans="1:7">
      <c r="A121" s="17" t="str">
        <f t="shared" si="1"/>
        <v/>
      </c>
      <c r="B121" s="17" t="str">
        <f>IF(INPUT_sheet!$F121=0,"", IF(LEFT((INPUT_sheet!$F121),1)="(",RIGHT((INPUT_sheet!$F121),LEN(INPUT_sheet!$F121)-3), (INPUT_sheet!$F121)))</f>
        <v/>
      </c>
      <c r="C121" s="17" t="str">
        <f>IF(INPUT_sheet!M121=0, "", INPUT_sheet!M121)</f>
        <v/>
      </c>
      <c r="D121" s="24" t="str">
        <f>IF(INPUT_sheet!A121=0,"",INPUT_sheet!A121)</f>
        <v/>
      </c>
      <c r="E121" s="19" t="str">
        <f>IF(INPUT_sheet!H121=0,"",(INPUT_sheet!H121)/1000)</f>
        <v/>
      </c>
      <c r="F121" s="19" t="str">
        <f>IF(INPUT_sheet!I121=0,"",(INPUT_sheet!I121)/1000)</f>
        <v/>
      </c>
      <c r="G121" s="19" t="str">
        <f>IF(INPUT_sheet!J121=0,"",(INPUT_sheet!J121)/1000)</f>
        <v/>
      </c>
    </row>
    <row r="122" spans="1:7">
      <c r="A122" s="17" t="str">
        <f t="shared" si="1"/>
        <v/>
      </c>
      <c r="B122" s="17" t="str">
        <f>IF(INPUT_sheet!$F122=0,"", IF(LEFT((INPUT_sheet!$F122),1)="(",RIGHT((INPUT_sheet!$F122),LEN(INPUT_sheet!$F122)-3), (INPUT_sheet!$F122)))</f>
        <v/>
      </c>
      <c r="C122" s="17" t="str">
        <f>IF(INPUT_sheet!M122=0, "", INPUT_sheet!M122)</f>
        <v/>
      </c>
      <c r="D122" s="24" t="str">
        <f>IF(INPUT_sheet!A122=0,"",INPUT_sheet!A122)</f>
        <v/>
      </c>
      <c r="E122" s="19" t="str">
        <f>IF(INPUT_sheet!H122=0,"",(INPUT_sheet!H122)/1000)</f>
        <v/>
      </c>
      <c r="F122" s="19" t="str">
        <f>IF(INPUT_sheet!I122=0,"",(INPUT_sheet!I122)/1000)</f>
        <v/>
      </c>
      <c r="G122" s="19" t="str">
        <f>IF(INPUT_sheet!J122=0,"",(INPUT_sheet!J122)/1000)</f>
        <v/>
      </c>
    </row>
    <row r="123" spans="1:7">
      <c r="A123" s="17" t="str">
        <f t="shared" si="1"/>
        <v/>
      </c>
      <c r="B123" s="17" t="str">
        <f>IF(INPUT_sheet!$F123=0,"", IF(LEFT((INPUT_sheet!$F123),1)="(",RIGHT((INPUT_sheet!$F123),LEN(INPUT_sheet!$F123)-3), (INPUT_sheet!$F123)))</f>
        <v/>
      </c>
      <c r="C123" s="17" t="str">
        <f>IF(INPUT_sheet!M123=0, "", INPUT_sheet!M123)</f>
        <v/>
      </c>
      <c r="D123" s="24" t="str">
        <f>IF(INPUT_sheet!A123=0,"",INPUT_sheet!A123)</f>
        <v/>
      </c>
      <c r="E123" s="19" t="str">
        <f>IF(INPUT_sheet!H123=0,"",(INPUT_sheet!H123)/1000)</f>
        <v/>
      </c>
      <c r="F123" s="19" t="str">
        <f>IF(INPUT_sheet!I123=0,"",(INPUT_sheet!I123)/1000)</f>
        <v/>
      </c>
      <c r="G123" s="19" t="str">
        <f>IF(INPUT_sheet!J123=0,"",(INPUT_sheet!J123)/1000)</f>
        <v/>
      </c>
    </row>
    <row r="124" spans="1:7">
      <c r="A124" s="17" t="str">
        <f t="shared" si="1"/>
        <v/>
      </c>
      <c r="B124" s="17" t="str">
        <f>IF(INPUT_sheet!$F124=0,"", IF(LEFT((INPUT_sheet!$F124),1)="(",RIGHT((INPUT_sheet!$F124),LEN(INPUT_sheet!$F124)-3), (INPUT_sheet!$F124)))</f>
        <v/>
      </c>
      <c r="C124" s="17" t="str">
        <f>IF(INPUT_sheet!M124=0, "", INPUT_sheet!M124)</f>
        <v/>
      </c>
      <c r="D124" s="24" t="str">
        <f>IF(INPUT_sheet!A124=0,"",INPUT_sheet!A124)</f>
        <v/>
      </c>
      <c r="E124" s="19" t="str">
        <f>IF(INPUT_sheet!H124=0,"",(INPUT_sheet!H124)/1000)</f>
        <v/>
      </c>
      <c r="F124" s="19" t="str">
        <f>IF(INPUT_sheet!I124=0,"",(INPUT_sheet!I124)/1000)</f>
        <v/>
      </c>
      <c r="G124" s="19" t="str">
        <f>IF(INPUT_sheet!J124=0,"",(INPUT_sheet!J124)/1000)</f>
        <v/>
      </c>
    </row>
    <row r="125" spans="1:7">
      <c r="A125" s="17" t="str">
        <f t="shared" si="1"/>
        <v/>
      </c>
      <c r="B125" s="17" t="str">
        <f>IF(INPUT_sheet!$F125=0,"", IF(LEFT((INPUT_sheet!$F125),1)="(",RIGHT((INPUT_sheet!$F125),LEN(INPUT_sheet!$F125)-3), (INPUT_sheet!$F125)))</f>
        <v/>
      </c>
      <c r="C125" s="17" t="str">
        <f>IF(INPUT_sheet!M125=0, "", INPUT_sheet!M125)</f>
        <v/>
      </c>
      <c r="D125" s="24" t="str">
        <f>IF(INPUT_sheet!A125=0,"",INPUT_sheet!A125)</f>
        <v/>
      </c>
      <c r="E125" s="19" t="str">
        <f>IF(INPUT_sheet!H125=0,"",(INPUT_sheet!H125)/1000)</f>
        <v/>
      </c>
      <c r="F125" s="19" t="str">
        <f>IF(INPUT_sheet!I125=0,"",(INPUT_sheet!I125)/1000)</f>
        <v/>
      </c>
      <c r="G125" s="19" t="str">
        <f>IF(INPUT_sheet!J125=0,"",(INPUT_sheet!J125)/1000)</f>
        <v/>
      </c>
    </row>
    <row r="126" spans="1:7">
      <c r="A126" s="17" t="str">
        <f t="shared" si="1"/>
        <v/>
      </c>
      <c r="B126" s="17" t="str">
        <f>IF(INPUT_sheet!$F126=0,"", IF(LEFT((INPUT_sheet!$F126),1)="(",RIGHT((INPUT_sheet!$F126),LEN(INPUT_sheet!$F126)-3), (INPUT_sheet!$F126)))</f>
        <v/>
      </c>
      <c r="C126" s="17" t="str">
        <f>IF(INPUT_sheet!M126=0, "", INPUT_sheet!M126)</f>
        <v/>
      </c>
      <c r="D126" s="24" t="str">
        <f>IF(INPUT_sheet!A126=0,"",INPUT_sheet!A126)</f>
        <v/>
      </c>
      <c r="E126" s="19" t="str">
        <f>IF(INPUT_sheet!H126=0,"",(INPUT_sheet!H126)/1000)</f>
        <v/>
      </c>
      <c r="F126" s="19" t="str">
        <f>IF(INPUT_sheet!I126=0,"",(INPUT_sheet!I126)/1000)</f>
        <v/>
      </c>
      <c r="G126" s="19" t="str">
        <f>IF(INPUT_sheet!J126=0,"",(INPUT_sheet!J126)/1000)</f>
        <v/>
      </c>
    </row>
    <row r="127" spans="1:7">
      <c r="A127" s="17" t="str">
        <f t="shared" si="1"/>
        <v/>
      </c>
      <c r="B127" s="17" t="str">
        <f>IF(INPUT_sheet!$F127=0,"", IF(LEFT((INPUT_sheet!$F127),1)="(",RIGHT((INPUT_sheet!$F127),LEN(INPUT_sheet!$F127)-3), (INPUT_sheet!$F127)))</f>
        <v/>
      </c>
      <c r="C127" s="17" t="str">
        <f>IF(INPUT_sheet!M127=0, "", INPUT_sheet!M127)</f>
        <v/>
      </c>
      <c r="D127" s="24" t="str">
        <f>IF(INPUT_sheet!A127=0,"",INPUT_sheet!A127)</f>
        <v/>
      </c>
      <c r="E127" s="19" t="str">
        <f>IF(INPUT_sheet!H127=0,"",(INPUT_sheet!H127)/1000)</f>
        <v/>
      </c>
      <c r="F127" s="19" t="str">
        <f>IF(INPUT_sheet!I127=0,"",(INPUT_sheet!I127)/1000)</f>
        <v/>
      </c>
      <c r="G127" s="19" t="str">
        <f>IF(INPUT_sheet!J127=0,"",(INPUT_sheet!J127)/1000)</f>
        <v/>
      </c>
    </row>
    <row r="128" spans="1:7">
      <c r="A128" s="17" t="str">
        <f t="shared" si="1"/>
        <v/>
      </c>
      <c r="B128" s="17" t="str">
        <f>IF(INPUT_sheet!$F128=0,"", IF(LEFT((INPUT_sheet!$F128),1)="(",RIGHT((INPUT_sheet!$F128),LEN(INPUT_sheet!$F128)-3), (INPUT_sheet!$F128)))</f>
        <v/>
      </c>
      <c r="C128" s="17" t="str">
        <f>IF(INPUT_sheet!M128=0, "", INPUT_sheet!M128)</f>
        <v/>
      </c>
      <c r="D128" s="24" t="str">
        <f>IF(INPUT_sheet!A128=0,"",INPUT_sheet!A128)</f>
        <v/>
      </c>
      <c r="E128" s="19" t="str">
        <f>IF(INPUT_sheet!H128=0,"",(INPUT_sheet!H128)/1000)</f>
        <v/>
      </c>
      <c r="F128" s="19" t="str">
        <f>IF(INPUT_sheet!I128=0,"",(INPUT_sheet!I128)/1000)</f>
        <v/>
      </c>
      <c r="G128" s="19" t="str">
        <f>IF(INPUT_sheet!J128=0,"",(INPUT_sheet!J128)/1000)</f>
        <v/>
      </c>
    </row>
    <row r="129" spans="1:7">
      <c r="A129" s="17" t="str">
        <f t="shared" si="1"/>
        <v/>
      </c>
      <c r="B129" s="17" t="str">
        <f>IF(INPUT_sheet!$F129=0,"", IF(LEFT((INPUT_sheet!$F129),1)="(",RIGHT((INPUT_sheet!$F129),LEN(INPUT_sheet!$F129)-3), (INPUT_sheet!$F129)))</f>
        <v/>
      </c>
      <c r="C129" s="17" t="str">
        <f>IF(INPUT_sheet!M129=0, "", INPUT_sheet!M129)</f>
        <v/>
      </c>
      <c r="D129" s="24" t="str">
        <f>IF(INPUT_sheet!A129=0,"",INPUT_sheet!A129)</f>
        <v/>
      </c>
      <c r="E129" s="19" t="str">
        <f>IF(INPUT_sheet!H129=0,"",(INPUT_sheet!H129)/1000)</f>
        <v/>
      </c>
      <c r="F129" s="19" t="str">
        <f>IF(INPUT_sheet!I129=0,"",(INPUT_sheet!I129)/1000)</f>
        <v/>
      </c>
      <c r="G129" s="19" t="str">
        <f>IF(INPUT_sheet!J129=0,"",(INPUT_sheet!J129)/1000)</f>
        <v/>
      </c>
    </row>
    <row r="130" spans="1:7">
      <c r="A130" s="17" t="str">
        <f t="shared" si="1"/>
        <v/>
      </c>
      <c r="B130" s="17" t="str">
        <f>IF(INPUT_sheet!$F130=0,"", IF(LEFT((INPUT_sheet!$F130),1)="(",RIGHT((INPUT_sheet!$F130),LEN(INPUT_sheet!$F130)-3), (INPUT_sheet!$F130)))</f>
        <v/>
      </c>
      <c r="C130" s="17" t="str">
        <f>IF(INPUT_sheet!M130=0, "", INPUT_sheet!M130)</f>
        <v/>
      </c>
      <c r="D130" s="24" t="str">
        <f>IF(INPUT_sheet!A130=0,"",INPUT_sheet!A130)</f>
        <v/>
      </c>
      <c r="E130" s="19" t="str">
        <f>IF(INPUT_sheet!H130=0,"",(INPUT_sheet!H130)/1000)</f>
        <v/>
      </c>
      <c r="F130" s="19" t="str">
        <f>IF(INPUT_sheet!I130=0,"",(INPUT_sheet!I130)/1000)</f>
        <v/>
      </c>
      <c r="G130" s="19" t="str">
        <f>IF(INPUT_sheet!J130=0,"",(INPUT_sheet!J130)/1000)</f>
        <v/>
      </c>
    </row>
    <row r="131" spans="1:7">
      <c r="A131" s="17" t="str">
        <f t="shared" ref="A131:A194" si="2">IF($B131="", "", ROW()-1)</f>
        <v/>
      </c>
      <c r="B131" s="17" t="str">
        <f>IF(INPUT_sheet!$F131=0,"", IF(LEFT((INPUT_sheet!$F131),1)="(",RIGHT((INPUT_sheet!$F131),LEN(INPUT_sheet!$F131)-3), (INPUT_sheet!$F131)))</f>
        <v/>
      </c>
      <c r="C131" s="17" t="str">
        <f>IF(INPUT_sheet!M131=0, "", INPUT_sheet!M131)</f>
        <v/>
      </c>
      <c r="D131" s="24" t="str">
        <f>IF(INPUT_sheet!A131=0,"",INPUT_sheet!A131)</f>
        <v/>
      </c>
      <c r="E131" s="19" t="str">
        <f>IF(INPUT_sheet!H131=0,"",(INPUT_sheet!H131)/1000)</f>
        <v/>
      </c>
      <c r="F131" s="19" t="str">
        <f>IF(INPUT_sheet!I131=0,"",(INPUT_sheet!I131)/1000)</f>
        <v/>
      </c>
      <c r="G131" s="19" t="str">
        <f>IF(INPUT_sheet!J131=0,"",(INPUT_sheet!J131)/1000)</f>
        <v/>
      </c>
    </row>
    <row r="132" spans="1:7">
      <c r="A132" s="17" t="str">
        <f t="shared" si="2"/>
        <v/>
      </c>
      <c r="B132" s="17" t="str">
        <f>IF(INPUT_sheet!$F132=0,"", IF(LEFT((INPUT_sheet!$F132),1)="(",RIGHT((INPUT_sheet!$F132),LEN(INPUT_sheet!$F132)-3), (INPUT_sheet!$F132)))</f>
        <v/>
      </c>
      <c r="C132" s="17" t="str">
        <f>IF(INPUT_sheet!M132=0, "", INPUT_sheet!M132)</f>
        <v/>
      </c>
      <c r="D132" s="24" t="str">
        <f>IF(INPUT_sheet!A132=0,"",INPUT_sheet!A132)</f>
        <v/>
      </c>
      <c r="E132" s="19" t="str">
        <f>IF(INPUT_sheet!H132=0,"",(INPUT_sheet!H132)/1000)</f>
        <v/>
      </c>
      <c r="F132" s="19" t="str">
        <f>IF(INPUT_sheet!I132=0,"",(INPUT_sheet!I132)/1000)</f>
        <v/>
      </c>
      <c r="G132" s="19" t="str">
        <f>IF(INPUT_sheet!J132=0,"",(INPUT_sheet!J132)/1000)</f>
        <v/>
      </c>
    </row>
    <row r="133" spans="1:7">
      <c r="A133" s="17" t="str">
        <f t="shared" si="2"/>
        <v/>
      </c>
      <c r="B133" s="17" t="str">
        <f>IF(INPUT_sheet!$F133=0,"", IF(LEFT((INPUT_sheet!$F133),1)="(",RIGHT((INPUT_sheet!$F133),LEN(INPUT_sheet!$F133)-3), (INPUT_sheet!$F133)))</f>
        <v/>
      </c>
      <c r="C133" s="17" t="str">
        <f>IF(INPUT_sheet!M133=0, "", INPUT_sheet!M133)</f>
        <v/>
      </c>
      <c r="D133" s="24" t="str">
        <f>IF(INPUT_sheet!A133=0,"",INPUT_sheet!A133)</f>
        <v/>
      </c>
      <c r="E133" s="19" t="str">
        <f>IF(INPUT_sheet!H133=0,"",(INPUT_sheet!H133)/1000)</f>
        <v/>
      </c>
      <c r="F133" s="19" t="str">
        <f>IF(INPUT_sheet!I133=0,"",(INPUT_sheet!I133)/1000)</f>
        <v/>
      </c>
      <c r="G133" s="19" t="str">
        <f>IF(INPUT_sheet!J133=0,"",(INPUT_sheet!J133)/1000)</f>
        <v/>
      </c>
    </row>
    <row r="134" spans="1:7">
      <c r="A134" s="17" t="str">
        <f t="shared" si="2"/>
        <v/>
      </c>
      <c r="B134" s="17" t="str">
        <f>IF(INPUT_sheet!$F134=0,"", IF(LEFT((INPUT_sheet!$F134),1)="(",RIGHT((INPUT_sheet!$F134),LEN(INPUT_sheet!$F134)-3), (INPUT_sheet!$F134)))</f>
        <v/>
      </c>
      <c r="C134" s="17" t="str">
        <f>IF(INPUT_sheet!M134=0, "", INPUT_sheet!M134)</f>
        <v/>
      </c>
      <c r="D134" s="24" t="str">
        <f>IF(INPUT_sheet!A134=0,"",INPUT_sheet!A134)</f>
        <v/>
      </c>
      <c r="E134" s="19" t="str">
        <f>IF(INPUT_sheet!H134=0,"",(INPUT_sheet!H134)/1000)</f>
        <v/>
      </c>
      <c r="F134" s="19" t="str">
        <f>IF(INPUT_sheet!I134=0,"",(INPUT_sheet!I134)/1000)</f>
        <v/>
      </c>
      <c r="G134" s="19" t="str">
        <f>IF(INPUT_sheet!J134=0,"",(INPUT_sheet!J134)/1000)</f>
        <v/>
      </c>
    </row>
    <row r="135" spans="1:7">
      <c r="A135" s="17" t="str">
        <f t="shared" si="2"/>
        <v/>
      </c>
      <c r="B135" s="17" t="str">
        <f>IF(INPUT_sheet!$F135=0,"", IF(LEFT((INPUT_sheet!$F135),1)="(",RIGHT((INPUT_sheet!$F135),LEN(INPUT_sheet!$F135)-3), (INPUT_sheet!$F135)))</f>
        <v/>
      </c>
      <c r="C135" s="17" t="str">
        <f>IF(INPUT_sheet!M135=0, "", INPUT_sheet!M135)</f>
        <v/>
      </c>
      <c r="D135" s="24" t="str">
        <f>IF(INPUT_sheet!A135=0,"",INPUT_sheet!A135)</f>
        <v/>
      </c>
      <c r="E135" s="19" t="str">
        <f>IF(INPUT_sheet!H135=0,"",(INPUT_sheet!H135)/1000)</f>
        <v/>
      </c>
      <c r="F135" s="19" t="str">
        <f>IF(INPUT_sheet!I135=0,"",(INPUT_sheet!I135)/1000)</f>
        <v/>
      </c>
      <c r="G135" s="19" t="str">
        <f>IF(INPUT_sheet!J135=0,"",(INPUT_sheet!J135)/1000)</f>
        <v/>
      </c>
    </row>
    <row r="136" spans="1:7">
      <c r="A136" s="17" t="str">
        <f t="shared" si="2"/>
        <v/>
      </c>
      <c r="B136" s="17" t="str">
        <f>IF(INPUT_sheet!$F136=0,"", IF(LEFT((INPUT_sheet!$F136),1)="(",RIGHT((INPUT_sheet!$F136),LEN(INPUT_sheet!$F136)-3), (INPUT_sheet!$F136)))</f>
        <v/>
      </c>
      <c r="C136" s="17" t="str">
        <f>IF(INPUT_sheet!M136=0, "", INPUT_sheet!M136)</f>
        <v/>
      </c>
      <c r="D136" s="24" t="str">
        <f>IF(INPUT_sheet!A136=0,"",INPUT_sheet!A136)</f>
        <v/>
      </c>
      <c r="E136" s="19" t="str">
        <f>IF(INPUT_sheet!H136=0,"",(INPUT_sheet!H136)/1000)</f>
        <v/>
      </c>
      <c r="F136" s="19" t="str">
        <f>IF(INPUT_sheet!I136=0,"",(INPUT_sheet!I136)/1000)</f>
        <v/>
      </c>
      <c r="G136" s="19" t="str">
        <f>IF(INPUT_sheet!J136=0,"",(INPUT_sheet!J136)/1000)</f>
        <v/>
      </c>
    </row>
    <row r="137" spans="1:7">
      <c r="A137" s="17" t="str">
        <f t="shared" si="2"/>
        <v/>
      </c>
      <c r="B137" s="17" t="str">
        <f>IF(INPUT_sheet!$F137=0,"", IF(LEFT((INPUT_sheet!$F137),1)="(",RIGHT((INPUT_sheet!$F137),LEN(INPUT_sheet!$F137)-3), (INPUT_sheet!$F137)))</f>
        <v/>
      </c>
      <c r="C137" s="17" t="str">
        <f>IF(INPUT_sheet!M137=0, "", INPUT_sheet!M137)</f>
        <v/>
      </c>
      <c r="D137" s="24" t="str">
        <f>IF(INPUT_sheet!A137=0,"",INPUT_sheet!A137)</f>
        <v/>
      </c>
      <c r="E137" s="19" t="str">
        <f>IF(INPUT_sheet!H137=0,"",(INPUT_sheet!H137)/1000)</f>
        <v/>
      </c>
      <c r="F137" s="19" t="str">
        <f>IF(INPUT_sheet!I137=0,"",(INPUT_sheet!I137)/1000)</f>
        <v/>
      </c>
      <c r="G137" s="19" t="str">
        <f>IF(INPUT_sheet!J137=0,"",(INPUT_sheet!J137)/1000)</f>
        <v/>
      </c>
    </row>
    <row r="138" spans="1:7">
      <c r="A138" s="17" t="str">
        <f t="shared" si="2"/>
        <v/>
      </c>
      <c r="B138" s="17" t="str">
        <f>IF(INPUT_sheet!$F138=0,"", IF(LEFT((INPUT_sheet!$F138),1)="(",RIGHT((INPUT_sheet!$F138),LEN(INPUT_sheet!$F138)-3), (INPUT_sheet!$F138)))</f>
        <v/>
      </c>
      <c r="C138" s="17" t="str">
        <f>IF(INPUT_sheet!M138=0, "", INPUT_sheet!M138)</f>
        <v/>
      </c>
      <c r="D138" s="24" t="str">
        <f>IF(INPUT_sheet!A138=0,"",INPUT_sheet!A138)</f>
        <v/>
      </c>
      <c r="E138" s="19" t="str">
        <f>IF(INPUT_sheet!H138=0,"",(INPUT_sheet!H138)/1000)</f>
        <v/>
      </c>
      <c r="F138" s="19" t="str">
        <f>IF(INPUT_sheet!I138=0,"",(INPUT_sheet!I138)/1000)</f>
        <v/>
      </c>
      <c r="G138" s="19" t="str">
        <f>IF(INPUT_sheet!J138=0,"",(INPUT_sheet!J138)/1000)</f>
        <v/>
      </c>
    </row>
    <row r="139" spans="1:7">
      <c r="A139" s="17" t="str">
        <f t="shared" si="2"/>
        <v/>
      </c>
      <c r="B139" s="17" t="str">
        <f>IF(INPUT_sheet!$F139=0,"", IF(LEFT((INPUT_sheet!$F139),1)="(",RIGHT((INPUT_sheet!$F139),LEN(INPUT_sheet!$F139)-3), (INPUT_sheet!$F139)))</f>
        <v/>
      </c>
      <c r="C139" s="17" t="str">
        <f>IF(INPUT_sheet!M139=0, "", INPUT_sheet!M139)</f>
        <v/>
      </c>
      <c r="D139" s="24" t="str">
        <f>IF(INPUT_sheet!A139=0,"",INPUT_sheet!A139)</f>
        <v/>
      </c>
      <c r="E139" s="19" t="str">
        <f>IF(INPUT_sheet!H139=0,"",(INPUT_sheet!H139)/1000)</f>
        <v/>
      </c>
      <c r="F139" s="19" t="str">
        <f>IF(INPUT_sheet!I139=0,"",(INPUT_sheet!I139)/1000)</f>
        <v/>
      </c>
      <c r="G139" s="19" t="str">
        <f>IF(INPUT_sheet!J139=0,"",(INPUT_sheet!J139)/1000)</f>
        <v/>
      </c>
    </row>
    <row r="140" spans="1:7">
      <c r="A140" s="17" t="str">
        <f t="shared" si="2"/>
        <v/>
      </c>
      <c r="B140" s="17" t="str">
        <f>IF(INPUT_sheet!$F140=0,"", IF(LEFT((INPUT_sheet!$F140),1)="(",RIGHT((INPUT_sheet!$F140),LEN(INPUT_sheet!$F140)-3), (INPUT_sheet!$F140)))</f>
        <v/>
      </c>
      <c r="C140" s="17" t="str">
        <f>IF(INPUT_sheet!M140=0, "", INPUT_sheet!M140)</f>
        <v/>
      </c>
      <c r="D140" s="24" t="str">
        <f>IF(INPUT_sheet!A140=0,"",INPUT_sheet!A140)</f>
        <v/>
      </c>
      <c r="E140" s="19" t="str">
        <f>IF(INPUT_sheet!H140=0,"",(INPUT_sheet!H140)/1000)</f>
        <v/>
      </c>
      <c r="F140" s="19" t="str">
        <f>IF(INPUT_sheet!I140=0,"",(INPUT_sheet!I140)/1000)</f>
        <v/>
      </c>
      <c r="G140" s="19" t="str">
        <f>IF(INPUT_sheet!J140=0,"",(INPUT_sheet!J140)/1000)</f>
        <v/>
      </c>
    </row>
    <row r="141" spans="1:7">
      <c r="A141" s="17" t="str">
        <f t="shared" si="2"/>
        <v/>
      </c>
      <c r="B141" s="17" t="str">
        <f>IF(INPUT_sheet!$F141=0,"", IF(LEFT((INPUT_sheet!$F141),1)="(",RIGHT((INPUT_sheet!$F141),LEN(INPUT_sheet!$F141)-3), (INPUT_sheet!$F141)))</f>
        <v/>
      </c>
      <c r="C141" s="17" t="str">
        <f>IF(INPUT_sheet!M141=0, "", INPUT_sheet!M141)</f>
        <v/>
      </c>
      <c r="D141" s="24" t="str">
        <f>IF(INPUT_sheet!A141=0,"",INPUT_sheet!A141)</f>
        <v/>
      </c>
      <c r="E141" s="19" t="str">
        <f>IF(INPUT_sheet!H141=0,"",(INPUT_sheet!H141)/1000)</f>
        <v/>
      </c>
      <c r="F141" s="19" t="str">
        <f>IF(INPUT_sheet!I141=0,"",(INPUT_sheet!I141)/1000)</f>
        <v/>
      </c>
      <c r="G141" s="19" t="str">
        <f>IF(INPUT_sheet!J141=0,"",(INPUT_sheet!J141)/1000)</f>
        <v/>
      </c>
    </row>
    <row r="142" spans="1:7">
      <c r="A142" s="17" t="str">
        <f t="shared" si="2"/>
        <v/>
      </c>
      <c r="B142" s="17" t="str">
        <f>IF(INPUT_sheet!$F142=0,"", IF(LEFT((INPUT_sheet!$F142),1)="(",RIGHT((INPUT_sheet!$F142),LEN(INPUT_sheet!$F142)-3), (INPUT_sheet!$F142)))</f>
        <v/>
      </c>
      <c r="C142" s="17" t="str">
        <f>IF(INPUT_sheet!M142=0, "", INPUT_sheet!M142)</f>
        <v/>
      </c>
      <c r="D142" s="24" t="str">
        <f>IF(INPUT_sheet!A142=0,"",INPUT_sheet!A142)</f>
        <v/>
      </c>
      <c r="E142" s="19" t="str">
        <f>IF(INPUT_sheet!H142=0,"",(INPUT_sheet!H142)/1000)</f>
        <v/>
      </c>
      <c r="F142" s="19" t="str">
        <f>IF(INPUT_sheet!I142=0,"",(INPUT_sheet!I142)/1000)</f>
        <v/>
      </c>
      <c r="G142" s="19" t="str">
        <f>IF(INPUT_sheet!J142=0,"",(INPUT_sheet!J142)/1000)</f>
        <v/>
      </c>
    </row>
    <row r="143" spans="1:7">
      <c r="A143" s="17" t="str">
        <f t="shared" si="2"/>
        <v/>
      </c>
      <c r="B143" s="17" t="str">
        <f>IF(INPUT_sheet!$F143=0,"", IF(LEFT((INPUT_sheet!$F143),1)="(",RIGHT((INPUT_sheet!$F143),LEN(INPUT_sheet!$F143)-3), (INPUT_sheet!$F143)))</f>
        <v/>
      </c>
      <c r="C143" s="17" t="str">
        <f>IF(INPUT_sheet!M143=0, "", INPUT_sheet!M143)</f>
        <v/>
      </c>
      <c r="D143" s="24" t="str">
        <f>IF(INPUT_sheet!A143=0,"",INPUT_sheet!A143)</f>
        <v/>
      </c>
      <c r="E143" s="19" t="str">
        <f>IF(INPUT_sheet!H143=0,"",(INPUT_sheet!H143)/1000)</f>
        <v/>
      </c>
      <c r="F143" s="19" t="str">
        <f>IF(INPUT_sheet!I143=0,"",(INPUT_sheet!I143)/1000)</f>
        <v/>
      </c>
      <c r="G143" s="19" t="str">
        <f>IF(INPUT_sheet!J143=0,"",(INPUT_sheet!J143)/1000)</f>
        <v/>
      </c>
    </row>
    <row r="144" spans="1:7">
      <c r="A144" s="17" t="str">
        <f t="shared" si="2"/>
        <v/>
      </c>
      <c r="B144" s="17" t="str">
        <f>IF(INPUT_sheet!$F144=0,"", IF(LEFT((INPUT_sheet!$F144),1)="(",RIGHT((INPUT_sheet!$F144),LEN(INPUT_sheet!$F144)-3), (INPUT_sheet!$F144)))</f>
        <v/>
      </c>
      <c r="C144" s="17" t="str">
        <f>IF(INPUT_sheet!M144=0, "", INPUT_sheet!M144)</f>
        <v/>
      </c>
      <c r="D144" s="24" t="str">
        <f>IF(INPUT_sheet!A144=0,"",INPUT_sheet!A144)</f>
        <v/>
      </c>
      <c r="E144" s="19" t="str">
        <f>IF(INPUT_sheet!H144=0,"",(INPUT_sheet!H144)/1000)</f>
        <v/>
      </c>
      <c r="F144" s="19" t="str">
        <f>IF(INPUT_sheet!I144=0,"",(INPUT_sheet!I144)/1000)</f>
        <v/>
      </c>
      <c r="G144" s="19" t="str">
        <f>IF(INPUT_sheet!J144=0,"",(INPUT_sheet!J144)/1000)</f>
        <v/>
      </c>
    </row>
    <row r="145" spans="1:7">
      <c r="A145" s="17" t="str">
        <f t="shared" si="2"/>
        <v/>
      </c>
      <c r="B145" s="17" t="str">
        <f>IF(INPUT_sheet!$F145=0,"", IF(LEFT((INPUT_sheet!$F145),1)="(",RIGHT((INPUT_sheet!$F145),LEN(INPUT_sheet!$F145)-3), (INPUT_sheet!$F145)))</f>
        <v/>
      </c>
      <c r="C145" s="17" t="str">
        <f>IF(INPUT_sheet!M145=0, "", INPUT_sheet!M145)</f>
        <v/>
      </c>
      <c r="D145" s="24" t="str">
        <f>IF(INPUT_sheet!A145=0,"",INPUT_sheet!A145)</f>
        <v/>
      </c>
      <c r="E145" s="19" t="str">
        <f>IF(INPUT_sheet!H145=0,"",(INPUT_sheet!H145)/1000)</f>
        <v/>
      </c>
      <c r="F145" s="19" t="str">
        <f>IF(INPUT_sheet!I145=0,"",(INPUT_sheet!I145)/1000)</f>
        <v/>
      </c>
      <c r="G145" s="19" t="str">
        <f>IF(INPUT_sheet!J145=0,"",(INPUT_sheet!J145)/1000)</f>
        <v/>
      </c>
    </row>
    <row r="146" spans="1:7">
      <c r="A146" s="17" t="str">
        <f t="shared" si="2"/>
        <v/>
      </c>
      <c r="B146" s="17" t="str">
        <f>IF(INPUT_sheet!$F146=0,"", IF(LEFT((INPUT_sheet!$F146),1)="(",RIGHT((INPUT_sheet!$F146),LEN(INPUT_sheet!$F146)-3), (INPUT_sheet!$F146)))</f>
        <v/>
      </c>
      <c r="C146" s="17" t="str">
        <f>IF(INPUT_sheet!M146=0, "", INPUT_sheet!M146)</f>
        <v/>
      </c>
      <c r="D146" s="24" t="str">
        <f>IF(INPUT_sheet!A146=0,"",INPUT_sheet!A146)</f>
        <v/>
      </c>
      <c r="E146" s="19" t="str">
        <f>IF(INPUT_sheet!H146=0,"",(INPUT_sheet!H146)/1000)</f>
        <v/>
      </c>
      <c r="F146" s="19" t="str">
        <f>IF(INPUT_sheet!I146=0,"",(INPUT_sheet!I146)/1000)</f>
        <v/>
      </c>
      <c r="G146" s="19" t="str">
        <f>IF(INPUT_sheet!J146=0,"",(INPUT_sheet!J146)/1000)</f>
        <v/>
      </c>
    </row>
    <row r="147" spans="1:7">
      <c r="A147" s="17" t="str">
        <f t="shared" si="2"/>
        <v/>
      </c>
      <c r="B147" s="17" t="str">
        <f>IF(INPUT_sheet!$F147=0,"", IF(LEFT((INPUT_sheet!$F147),1)="(",RIGHT((INPUT_sheet!$F147),LEN(INPUT_sheet!$F147)-3), (INPUT_sheet!$F147)))</f>
        <v/>
      </c>
      <c r="C147" s="17" t="str">
        <f>IF(INPUT_sheet!M147=0, "", INPUT_sheet!M147)</f>
        <v/>
      </c>
      <c r="D147" s="24" t="str">
        <f>IF(INPUT_sheet!A147=0,"",INPUT_sheet!A147)</f>
        <v/>
      </c>
      <c r="E147" s="19" t="str">
        <f>IF(INPUT_sheet!H147=0,"",(INPUT_sheet!H147)/1000)</f>
        <v/>
      </c>
      <c r="F147" s="19" t="str">
        <f>IF(INPUT_sheet!I147=0,"",(INPUT_sheet!I147)/1000)</f>
        <v/>
      </c>
      <c r="G147" s="19" t="str">
        <f>IF(INPUT_sheet!J147=0,"",(INPUT_sheet!J147)/1000)</f>
        <v/>
      </c>
    </row>
    <row r="148" spans="1:7">
      <c r="A148" s="17" t="str">
        <f t="shared" si="2"/>
        <v/>
      </c>
      <c r="B148" s="17" t="str">
        <f>IF(INPUT_sheet!$F148=0,"", IF(LEFT((INPUT_sheet!$F148),1)="(",RIGHT((INPUT_sheet!$F148),LEN(INPUT_sheet!$F148)-3), (INPUT_sheet!$F148)))</f>
        <v/>
      </c>
      <c r="C148" s="17" t="str">
        <f>IF(INPUT_sheet!M148=0, "", INPUT_sheet!M148)</f>
        <v/>
      </c>
      <c r="D148" s="24" t="str">
        <f>IF(INPUT_sheet!A148=0,"",INPUT_sheet!A148)</f>
        <v/>
      </c>
      <c r="E148" s="19" t="str">
        <f>IF(INPUT_sheet!H148=0,"",(INPUT_sheet!H148)/1000)</f>
        <v/>
      </c>
      <c r="F148" s="19" t="str">
        <f>IF(INPUT_sheet!I148=0,"",(INPUT_sheet!I148)/1000)</f>
        <v/>
      </c>
      <c r="G148" s="19" t="str">
        <f>IF(INPUT_sheet!J148=0,"",(INPUT_sheet!J148)/1000)</f>
        <v/>
      </c>
    </row>
    <row r="149" spans="1:7">
      <c r="A149" s="17" t="str">
        <f t="shared" si="2"/>
        <v/>
      </c>
      <c r="B149" s="17" t="str">
        <f>IF(INPUT_sheet!$F149=0,"", IF(LEFT((INPUT_sheet!$F149),1)="(",RIGHT((INPUT_sheet!$F149),LEN(INPUT_sheet!$F149)-3), (INPUT_sheet!$F149)))</f>
        <v/>
      </c>
      <c r="C149" s="17" t="str">
        <f>IF(INPUT_sheet!M149=0, "", INPUT_sheet!M149)</f>
        <v/>
      </c>
      <c r="D149" s="24" t="str">
        <f>IF(INPUT_sheet!A149=0,"",INPUT_sheet!A149)</f>
        <v/>
      </c>
      <c r="E149" s="19" t="str">
        <f>IF(INPUT_sheet!H149=0,"",(INPUT_sheet!H149)/1000)</f>
        <v/>
      </c>
      <c r="F149" s="19" t="str">
        <f>IF(INPUT_sheet!I149=0,"",(INPUT_sheet!I149)/1000)</f>
        <v/>
      </c>
      <c r="G149" s="19" t="str">
        <f>IF(INPUT_sheet!J149=0,"",(INPUT_sheet!J149)/1000)</f>
        <v/>
      </c>
    </row>
    <row r="150" spans="1:7">
      <c r="A150" s="17" t="str">
        <f t="shared" si="2"/>
        <v/>
      </c>
      <c r="B150" s="17" t="str">
        <f>IF(INPUT_sheet!$F150=0,"", IF(LEFT((INPUT_sheet!$F150),1)="(",RIGHT((INPUT_sheet!$F150),LEN(INPUT_sheet!$F150)-3), (INPUT_sheet!$F150)))</f>
        <v/>
      </c>
      <c r="C150" s="17" t="str">
        <f>IF(INPUT_sheet!M150=0, "", INPUT_sheet!M150)</f>
        <v/>
      </c>
      <c r="D150" s="24" t="str">
        <f>IF(INPUT_sheet!A150=0,"",INPUT_sheet!A150)</f>
        <v/>
      </c>
      <c r="E150" s="19" t="str">
        <f>IF(INPUT_sheet!H150=0,"",(INPUT_sheet!H150)/1000)</f>
        <v/>
      </c>
      <c r="F150" s="19" t="str">
        <f>IF(INPUT_sheet!I150=0,"",(INPUT_sheet!I150)/1000)</f>
        <v/>
      </c>
      <c r="G150" s="19" t="str">
        <f>IF(INPUT_sheet!J150=0,"",(INPUT_sheet!J150)/1000)</f>
        <v/>
      </c>
    </row>
    <row r="151" spans="1:7">
      <c r="A151" s="17" t="str">
        <f t="shared" si="2"/>
        <v/>
      </c>
      <c r="B151" s="17" t="str">
        <f>IF(INPUT_sheet!$F151=0,"", IF(LEFT((INPUT_sheet!$F151),1)="(",RIGHT((INPUT_sheet!$F151),LEN(INPUT_sheet!$F151)-3), (INPUT_sheet!$F151)))</f>
        <v/>
      </c>
      <c r="C151" s="17" t="str">
        <f>IF(INPUT_sheet!M151=0, "", INPUT_sheet!M151)</f>
        <v/>
      </c>
      <c r="D151" s="24" t="str">
        <f>IF(INPUT_sheet!A151=0,"",INPUT_sheet!A151)</f>
        <v/>
      </c>
      <c r="E151" s="19" t="str">
        <f>IF(INPUT_sheet!H151=0,"",(INPUT_sheet!H151)/1000)</f>
        <v/>
      </c>
      <c r="F151" s="19" t="str">
        <f>IF(INPUT_sheet!I151=0,"",(INPUT_sheet!I151)/1000)</f>
        <v/>
      </c>
      <c r="G151" s="19" t="str">
        <f>IF(INPUT_sheet!J151=0,"",(INPUT_sheet!J151)/1000)</f>
        <v/>
      </c>
    </row>
    <row r="152" spans="1:7">
      <c r="A152" s="17" t="str">
        <f t="shared" si="2"/>
        <v/>
      </c>
      <c r="B152" s="17" t="str">
        <f>IF(INPUT_sheet!$F152=0,"", IF(LEFT((INPUT_sheet!$F152),1)="(",RIGHT((INPUT_sheet!$F152),LEN(INPUT_sheet!$F152)-3), (INPUT_sheet!$F152)))</f>
        <v/>
      </c>
      <c r="C152" s="17" t="str">
        <f>IF(INPUT_sheet!M152=0, "", INPUT_sheet!M152)</f>
        <v/>
      </c>
      <c r="D152" s="24" t="str">
        <f>IF(INPUT_sheet!A152=0,"",INPUT_sheet!A152)</f>
        <v/>
      </c>
      <c r="E152" s="19" t="str">
        <f>IF(INPUT_sheet!H152=0,"",(INPUT_sheet!H152)/1000)</f>
        <v/>
      </c>
      <c r="F152" s="19" t="str">
        <f>IF(INPUT_sheet!I152=0,"",(INPUT_sheet!I152)/1000)</f>
        <v/>
      </c>
      <c r="G152" s="19" t="str">
        <f>IF(INPUT_sheet!J152=0,"",(INPUT_sheet!J152)/1000)</f>
        <v/>
      </c>
    </row>
    <row r="153" spans="1:7">
      <c r="A153" s="17" t="str">
        <f t="shared" si="2"/>
        <v/>
      </c>
      <c r="B153" s="17" t="str">
        <f>IF(INPUT_sheet!$F153=0,"", IF(LEFT((INPUT_sheet!$F153),1)="(",RIGHT((INPUT_sheet!$F153),LEN(INPUT_sheet!$F153)-3), (INPUT_sheet!$F153)))</f>
        <v/>
      </c>
      <c r="C153" s="17" t="str">
        <f>IF(INPUT_sheet!M153=0, "", INPUT_sheet!M153)</f>
        <v/>
      </c>
      <c r="D153" s="24" t="str">
        <f>IF(INPUT_sheet!A153=0,"",INPUT_sheet!A153)</f>
        <v/>
      </c>
      <c r="E153" s="19" t="str">
        <f>IF(INPUT_sheet!H153=0,"",(INPUT_sheet!H153)/1000)</f>
        <v/>
      </c>
      <c r="F153" s="19" t="str">
        <f>IF(INPUT_sheet!I153=0,"",(INPUT_sheet!I153)/1000)</f>
        <v/>
      </c>
      <c r="G153" s="19" t="str">
        <f>IF(INPUT_sheet!J153=0,"",(INPUT_sheet!J153)/1000)</f>
        <v/>
      </c>
    </row>
    <row r="154" spans="1:7">
      <c r="A154" s="17" t="str">
        <f t="shared" si="2"/>
        <v/>
      </c>
      <c r="B154" s="17" t="str">
        <f>IF(INPUT_sheet!$F154=0,"", IF(LEFT((INPUT_sheet!$F154),1)="(",RIGHT((INPUT_sheet!$F154),LEN(INPUT_sheet!$F154)-3), (INPUT_sheet!$F154)))</f>
        <v/>
      </c>
      <c r="C154" s="17" t="str">
        <f>IF(INPUT_sheet!M154=0, "", INPUT_sheet!M154)</f>
        <v/>
      </c>
      <c r="D154" s="24" t="str">
        <f>IF(INPUT_sheet!A154=0,"",INPUT_sheet!A154)</f>
        <v/>
      </c>
      <c r="E154" s="19" t="str">
        <f>IF(INPUT_sheet!H154=0,"",(INPUT_sheet!H154)/1000)</f>
        <v/>
      </c>
      <c r="F154" s="19" t="str">
        <f>IF(INPUT_sheet!I154=0,"",(INPUT_sheet!I154)/1000)</f>
        <v/>
      </c>
      <c r="G154" s="19" t="str">
        <f>IF(INPUT_sheet!J154=0,"",(INPUT_sheet!J154)/1000)</f>
        <v/>
      </c>
    </row>
    <row r="155" spans="1:7">
      <c r="A155" s="17" t="str">
        <f t="shared" si="2"/>
        <v/>
      </c>
      <c r="B155" s="17" t="str">
        <f>IF(INPUT_sheet!$F155=0,"", IF(LEFT((INPUT_sheet!$F155),1)="(",RIGHT((INPUT_sheet!$F155),LEN(INPUT_sheet!$F155)-3), (INPUT_sheet!$F155)))</f>
        <v/>
      </c>
      <c r="C155" s="17" t="str">
        <f>IF(INPUT_sheet!M155=0, "", INPUT_sheet!M155)</f>
        <v/>
      </c>
      <c r="D155" s="24" t="str">
        <f>IF(INPUT_sheet!A155=0,"",INPUT_sheet!A155)</f>
        <v/>
      </c>
      <c r="E155" s="19" t="str">
        <f>IF(INPUT_sheet!H155=0,"",(INPUT_sheet!H155)/1000)</f>
        <v/>
      </c>
      <c r="F155" s="19" t="str">
        <f>IF(INPUT_sheet!I155=0,"",(INPUT_sheet!I155)/1000)</f>
        <v/>
      </c>
      <c r="G155" s="19" t="str">
        <f>IF(INPUT_sheet!J155=0,"",(INPUT_sheet!J155)/1000)</f>
        <v/>
      </c>
    </row>
    <row r="156" spans="1:7">
      <c r="A156" s="17" t="str">
        <f t="shared" si="2"/>
        <v/>
      </c>
      <c r="B156" s="17" t="str">
        <f>IF(INPUT_sheet!$F156=0,"", IF(LEFT((INPUT_sheet!$F156),1)="(",RIGHT((INPUT_sheet!$F156),LEN(INPUT_sheet!$F156)-3), (INPUT_sheet!$F156)))</f>
        <v/>
      </c>
      <c r="C156" s="17" t="str">
        <f>IF(INPUT_sheet!M156=0, "", INPUT_sheet!M156)</f>
        <v/>
      </c>
      <c r="D156" s="24" t="str">
        <f>IF(INPUT_sheet!A156=0,"",INPUT_sheet!A156)</f>
        <v/>
      </c>
      <c r="E156" s="19" t="str">
        <f>IF(INPUT_sheet!H156=0,"",(INPUT_sheet!H156)/1000)</f>
        <v/>
      </c>
      <c r="F156" s="19" t="str">
        <f>IF(INPUT_sheet!I156=0,"",(INPUT_sheet!I156)/1000)</f>
        <v/>
      </c>
      <c r="G156" s="19" t="str">
        <f>IF(INPUT_sheet!J156=0,"",(INPUT_sheet!J156)/1000)</f>
        <v/>
      </c>
    </row>
    <row r="157" spans="1:7">
      <c r="A157" s="17" t="str">
        <f t="shared" si="2"/>
        <v/>
      </c>
      <c r="B157" s="17" t="str">
        <f>IF(INPUT_sheet!$F157=0,"", IF(LEFT((INPUT_sheet!$F157),1)="(",RIGHT((INPUT_sheet!$F157),LEN(INPUT_sheet!$F157)-3), (INPUT_sheet!$F157)))</f>
        <v/>
      </c>
      <c r="C157" s="17" t="str">
        <f>IF(INPUT_sheet!M157=0, "", INPUT_sheet!M157)</f>
        <v/>
      </c>
      <c r="D157" s="24" t="str">
        <f>IF(INPUT_sheet!A157=0,"",INPUT_sheet!A157)</f>
        <v/>
      </c>
      <c r="E157" s="19" t="str">
        <f>IF(INPUT_sheet!H157=0,"",(INPUT_sheet!H157)/1000)</f>
        <v/>
      </c>
      <c r="F157" s="19" t="str">
        <f>IF(INPUT_sheet!I157=0,"",(INPUT_sheet!I157)/1000)</f>
        <v/>
      </c>
      <c r="G157" s="19" t="str">
        <f>IF(INPUT_sheet!J157=0,"",(INPUT_sheet!J157)/1000)</f>
        <v/>
      </c>
    </row>
    <row r="158" spans="1:7">
      <c r="A158" s="17" t="str">
        <f t="shared" si="2"/>
        <v/>
      </c>
      <c r="B158" s="17" t="str">
        <f>IF(INPUT_sheet!$F158=0,"", IF(LEFT((INPUT_sheet!$F158),1)="(",RIGHT((INPUT_sheet!$F158),LEN(INPUT_sheet!$F158)-3), (INPUT_sheet!$F158)))</f>
        <v/>
      </c>
      <c r="C158" s="17" t="str">
        <f>IF(INPUT_sheet!M158=0, "", INPUT_sheet!M158)</f>
        <v/>
      </c>
      <c r="D158" s="24" t="str">
        <f>IF(INPUT_sheet!A158=0,"",INPUT_sheet!A158)</f>
        <v/>
      </c>
      <c r="E158" s="19" t="str">
        <f>IF(INPUT_sheet!H158=0,"",(INPUT_sheet!H158)/1000)</f>
        <v/>
      </c>
      <c r="F158" s="19" t="str">
        <f>IF(INPUT_sheet!I158=0,"",(INPUT_sheet!I158)/1000)</f>
        <v/>
      </c>
      <c r="G158" s="19" t="str">
        <f>IF(INPUT_sheet!J158=0,"",(INPUT_sheet!J158)/1000)</f>
        <v/>
      </c>
    </row>
    <row r="159" spans="1:7">
      <c r="A159" s="17" t="str">
        <f t="shared" si="2"/>
        <v/>
      </c>
      <c r="B159" s="17" t="str">
        <f>IF(INPUT_sheet!$F159=0,"", IF(LEFT((INPUT_sheet!$F159),1)="(",RIGHT((INPUT_sheet!$F159),LEN(INPUT_sheet!$F159)-3), (INPUT_sheet!$F159)))</f>
        <v/>
      </c>
      <c r="C159" s="17" t="str">
        <f>IF(INPUT_sheet!M159=0, "", INPUT_sheet!M159)</f>
        <v/>
      </c>
      <c r="D159" s="24" t="str">
        <f>IF(INPUT_sheet!A159=0,"",INPUT_sheet!A159)</f>
        <v/>
      </c>
      <c r="E159" s="19" t="str">
        <f>IF(INPUT_sheet!H159=0,"",(INPUT_sheet!H159)/1000)</f>
        <v/>
      </c>
      <c r="F159" s="19" t="str">
        <f>IF(INPUT_sheet!I159=0,"",(INPUT_sheet!I159)/1000)</f>
        <v/>
      </c>
      <c r="G159" s="19" t="str">
        <f>IF(INPUT_sheet!J159=0,"",(INPUT_sheet!J159)/1000)</f>
        <v/>
      </c>
    </row>
    <row r="160" spans="1:7">
      <c r="A160" s="17" t="str">
        <f t="shared" si="2"/>
        <v/>
      </c>
      <c r="B160" s="17" t="str">
        <f>IF(INPUT_sheet!$F160=0,"", IF(LEFT((INPUT_sheet!$F160),1)="(",RIGHT((INPUT_sheet!$F160),LEN(INPUT_sheet!$F160)-3), (INPUT_sheet!$F160)))</f>
        <v/>
      </c>
      <c r="C160" s="17" t="str">
        <f>IF(INPUT_sheet!M160=0, "", INPUT_sheet!M160)</f>
        <v/>
      </c>
      <c r="D160" s="24" t="str">
        <f>IF(INPUT_sheet!A160=0,"",INPUT_sheet!A160)</f>
        <v/>
      </c>
      <c r="E160" s="19" t="str">
        <f>IF(INPUT_sheet!H160=0,"",(INPUT_sheet!H160)/1000)</f>
        <v/>
      </c>
      <c r="F160" s="19" t="str">
        <f>IF(INPUT_sheet!I160=0,"",(INPUT_sheet!I160)/1000)</f>
        <v/>
      </c>
      <c r="G160" s="19" t="str">
        <f>IF(INPUT_sheet!J160=0,"",(INPUT_sheet!J160)/1000)</f>
        <v/>
      </c>
    </row>
    <row r="161" spans="1:7">
      <c r="A161" s="17" t="str">
        <f t="shared" si="2"/>
        <v/>
      </c>
      <c r="B161" s="17" t="str">
        <f>IF(INPUT_sheet!$F161=0,"", IF(LEFT((INPUT_sheet!$F161),1)="(",RIGHT((INPUT_sheet!$F161),LEN(INPUT_sheet!$F161)-3), (INPUT_sheet!$F161)))</f>
        <v/>
      </c>
      <c r="C161" s="17" t="str">
        <f>IF(INPUT_sheet!M161=0, "", INPUT_sheet!M161)</f>
        <v/>
      </c>
      <c r="D161" s="24" t="str">
        <f>IF(INPUT_sheet!A161=0,"",INPUT_sheet!A161)</f>
        <v/>
      </c>
      <c r="E161" s="19" t="str">
        <f>IF(INPUT_sheet!H161=0,"",(INPUT_sheet!H161)/1000)</f>
        <v/>
      </c>
      <c r="F161" s="19" t="str">
        <f>IF(INPUT_sheet!I161=0,"",(INPUT_sheet!I161)/1000)</f>
        <v/>
      </c>
      <c r="G161" s="19" t="str">
        <f>IF(INPUT_sheet!J161=0,"",(INPUT_sheet!J161)/1000)</f>
        <v/>
      </c>
    </row>
    <row r="162" spans="1:7">
      <c r="A162" s="17" t="str">
        <f t="shared" si="2"/>
        <v/>
      </c>
      <c r="B162" s="17" t="str">
        <f>IF(INPUT_sheet!$F162=0,"", IF(LEFT((INPUT_sheet!$F162),1)="(",RIGHT((INPUT_sheet!$F162),LEN(INPUT_sheet!$F162)-3), (INPUT_sheet!$F162)))</f>
        <v/>
      </c>
      <c r="C162" s="17" t="str">
        <f>IF(INPUT_sheet!M162=0, "", INPUT_sheet!M162)</f>
        <v/>
      </c>
      <c r="D162" s="24" t="str">
        <f>IF(INPUT_sheet!A162=0,"",INPUT_sheet!A162)</f>
        <v/>
      </c>
      <c r="E162" s="19" t="str">
        <f>IF(INPUT_sheet!H162=0,"",(INPUT_sheet!H162)/1000)</f>
        <v/>
      </c>
      <c r="F162" s="19" t="str">
        <f>IF(INPUT_sheet!I162=0,"",(INPUT_sheet!I162)/1000)</f>
        <v/>
      </c>
      <c r="G162" s="19" t="str">
        <f>IF(INPUT_sheet!J162=0,"",(INPUT_sheet!J162)/1000)</f>
        <v/>
      </c>
    </row>
    <row r="163" spans="1:7">
      <c r="A163" s="17" t="str">
        <f t="shared" si="2"/>
        <v/>
      </c>
      <c r="B163" s="17" t="str">
        <f>IF(INPUT_sheet!$F163=0,"", IF(LEFT((INPUT_sheet!$F163),1)="(",RIGHT((INPUT_sheet!$F163),LEN(INPUT_sheet!$F163)-3), (INPUT_sheet!$F163)))</f>
        <v/>
      </c>
      <c r="C163" s="17" t="str">
        <f>IF(INPUT_sheet!M163=0, "", INPUT_sheet!M163)</f>
        <v/>
      </c>
      <c r="D163" s="24" t="str">
        <f>IF(INPUT_sheet!A163=0,"",INPUT_sheet!A163)</f>
        <v/>
      </c>
      <c r="E163" s="19" t="str">
        <f>IF(INPUT_sheet!H163=0,"",(INPUT_sheet!H163)/1000)</f>
        <v/>
      </c>
      <c r="F163" s="19" t="str">
        <f>IF(INPUT_sheet!I163=0,"",(INPUT_sheet!I163)/1000)</f>
        <v/>
      </c>
      <c r="G163" s="19" t="str">
        <f>IF(INPUT_sheet!J163=0,"",(INPUT_sheet!J163)/1000)</f>
        <v/>
      </c>
    </row>
    <row r="164" spans="1:7">
      <c r="A164" s="17" t="str">
        <f t="shared" si="2"/>
        <v/>
      </c>
      <c r="B164" s="17" t="str">
        <f>IF(INPUT_sheet!$F164=0,"", IF(LEFT((INPUT_sheet!$F164),1)="(",RIGHT((INPUT_sheet!$F164),LEN(INPUT_sheet!$F164)-3), (INPUT_sheet!$F164)))</f>
        <v/>
      </c>
      <c r="C164" s="17" t="str">
        <f>IF(INPUT_sheet!M164=0, "", INPUT_sheet!M164)</f>
        <v/>
      </c>
      <c r="D164" s="24" t="str">
        <f>IF(INPUT_sheet!A164=0,"",INPUT_sheet!A164)</f>
        <v/>
      </c>
      <c r="E164" s="19" t="str">
        <f>IF(INPUT_sheet!H164=0,"",(INPUT_sheet!H164)/1000)</f>
        <v/>
      </c>
      <c r="F164" s="19" t="str">
        <f>IF(INPUT_sheet!I164=0,"",(INPUT_sheet!I164)/1000)</f>
        <v/>
      </c>
      <c r="G164" s="19" t="str">
        <f>IF(INPUT_sheet!J164=0,"",(INPUT_sheet!J164)/1000)</f>
        <v/>
      </c>
    </row>
    <row r="165" spans="1:7">
      <c r="A165" s="17" t="str">
        <f t="shared" si="2"/>
        <v/>
      </c>
      <c r="B165" s="17" t="str">
        <f>IF(INPUT_sheet!$F165=0,"", IF(LEFT((INPUT_sheet!$F165),1)="(",RIGHT((INPUT_sheet!$F165),LEN(INPUT_sheet!$F165)-3), (INPUT_sheet!$F165)))</f>
        <v/>
      </c>
      <c r="C165" s="17" t="str">
        <f>IF(INPUT_sheet!M165=0, "", INPUT_sheet!M165)</f>
        <v/>
      </c>
      <c r="D165" s="24" t="str">
        <f>IF(INPUT_sheet!A165=0,"",INPUT_sheet!A165)</f>
        <v/>
      </c>
      <c r="E165" s="19" t="str">
        <f>IF(INPUT_sheet!H165=0,"",(INPUT_sheet!H165)/1000)</f>
        <v/>
      </c>
      <c r="F165" s="19" t="str">
        <f>IF(INPUT_sheet!I165=0,"",(INPUT_sheet!I165)/1000)</f>
        <v/>
      </c>
      <c r="G165" s="19" t="str">
        <f>IF(INPUT_sheet!J165=0,"",(INPUT_sheet!J165)/1000)</f>
        <v/>
      </c>
    </row>
    <row r="166" spans="1:7">
      <c r="A166" s="17" t="str">
        <f t="shared" si="2"/>
        <v/>
      </c>
      <c r="B166" s="17" t="str">
        <f>IF(INPUT_sheet!$F166=0,"", IF(LEFT((INPUT_sheet!$F166),1)="(",RIGHT((INPUT_sheet!$F166),LEN(INPUT_sheet!$F166)-3), (INPUT_sheet!$F166)))</f>
        <v/>
      </c>
      <c r="C166" s="17" t="str">
        <f>IF(INPUT_sheet!M166=0, "", INPUT_sheet!M166)</f>
        <v/>
      </c>
      <c r="D166" s="24" t="str">
        <f>IF(INPUT_sheet!A166=0,"",INPUT_sheet!A166)</f>
        <v/>
      </c>
      <c r="E166" s="19" t="str">
        <f>IF(INPUT_sheet!H166=0,"",(INPUT_sheet!H166)/1000)</f>
        <v/>
      </c>
      <c r="F166" s="19" t="str">
        <f>IF(INPUT_sheet!I166=0,"",(INPUT_sheet!I166)/1000)</f>
        <v/>
      </c>
      <c r="G166" s="19" t="str">
        <f>IF(INPUT_sheet!J166=0,"",(INPUT_sheet!J166)/1000)</f>
        <v/>
      </c>
    </row>
    <row r="167" spans="1:7">
      <c r="A167" s="17" t="str">
        <f t="shared" si="2"/>
        <v/>
      </c>
      <c r="B167" s="17" t="str">
        <f>IF(INPUT_sheet!$F167=0,"", IF(LEFT((INPUT_sheet!$F167),1)="(",RIGHT((INPUT_sheet!$F167),LEN(INPUT_sheet!$F167)-3), (INPUT_sheet!$F167)))</f>
        <v/>
      </c>
      <c r="C167" s="17" t="str">
        <f>IF(INPUT_sheet!M167=0, "", INPUT_sheet!M167)</f>
        <v/>
      </c>
      <c r="D167" s="24" t="str">
        <f>IF(INPUT_sheet!A167=0,"",INPUT_sheet!A167)</f>
        <v/>
      </c>
      <c r="E167" s="19" t="str">
        <f>IF(INPUT_sheet!H167=0,"",(INPUT_sheet!H167)/1000)</f>
        <v/>
      </c>
      <c r="F167" s="19" t="str">
        <f>IF(INPUT_sheet!I167=0,"",(INPUT_sheet!I167)/1000)</f>
        <v/>
      </c>
      <c r="G167" s="19" t="str">
        <f>IF(INPUT_sheet!J167=0,"",(INPUT_sheet!J167)/1000)</f>
        <v/>
      </c>
    </row>
    <row r="168" spans="1:7">
      <c r="A168" s="17" t="str">
        <f t="shared" si="2"/>
        <v/>
      </c>
      <c r="B168" s="17" t="str">
        <f>IF(INPUT_sheet!$F168=0,"", IF(LEFT((INPUT_sheet!$F168),1)="(",RIGHT((INPUT_sheet!$F168),LEN(INPUT_sheet!$F168)-3), (INPUT_sheet!$F168)))</f>
        <v/>
      </c>
      <c r="C168" s="17" t="str">
        <f>IF(INPUT_sheet!M168=0, "", INPUT_sheet!M168)</f>
        <v/>
      </c>
      <c r="D168" s="24" t="str">
        <f>IF(INPUT_sheet!A168=0,"",INPUT_sheet!A168)</f>
        <v/>
      </c>
      <c r="E168" s="19" t="str">
        <f>IF(INPUT_sheet!H168=0,"",(INPUT_sheet!H168)/1000)</f>
        <v/>
      </c>
      <c r="F168" s="19" t="str">
        <f>IF(INPUT_sheet!I168=0,"",(INPUT_sheet!I168)/1000)</f>
        <v/>
      </c>
      <c r="G168" s="19" t="str">
        <f>IF(INPUT_sheet!J168=0,"",(INPUT_sheet!J168)/1000)</f>
        <v/>
      </c>
    </row>
    <row r="169" spans="1:7">
      <c r="A169" s="17" t="str">
        <f t="shared" si="2"/>
        <v/>
      </c>
      <c r="B169" s="17" t="str">
        <f>IF(INPUT_sheet!$F169=0,"", IF(LEFT((INPUT_sheet!$F169),1)="(",RIGHT((INPUT_sheet!$F169),LEN(INPUT_sheet!$F169)-3), (INPUT_sheet!$F169)))</f>
        <v/>
      </c>
      <c r="C169" s="17" t="str">
        <f>IF(INPUT_sheet!M169=0, "", INPUT_sheet!M169)</f>
        <v/>
      </c>
      <c r="D169" s="24" t="str">
        <f>IF(INPUT_sheet!A169=0,"",INPUT_sheet!A169)</f>
        <v/>
      </c>
      <c r="E169" s="19" t="str">
        <f>IF(INPUT_sheet!H169=0,"",(INPUT_sheet!H169)/1000)</f>
        <v/>
      </c>
      <c r="F169" s="19" t="str">
        <f>IF(INPUT_sheet!I169=0,"",(INPUT_sheet!I169)/1000)</f>
        <v/>
      </c>
      <c r="G169" s="19" t="str">
        <f>IF(INPUT_sheet!J169=0,"",(INPUT_sheet!J169)/1000)</f>
        <v/>
      </c>
    </row>
    <row r="170" spans="1:7">
      <c r="A170" s="17" t="str">
        <f t="shared" si="2"/>
        <v/>
      </c>
      <c r="B170" s="17" t="str">
        <f>IF(INPUT_sheet!$F170=0,"", IF(LEFT((INPUT_sheet!$F170),1)="(",RIGHT((INPUT_sheet!$F170),LEN(INPUT_sheet!$F170)-3), (INPUT_sheet!$F170)))</f>
        <v/>
      </c>
      <c r="C170" s="17" t="str">
        <f>IF(INPUT_sheet!M170=0, "", INPUT_sheet!M170)</f>
        <v/>
      </c>
      <c r="D170" s="24" t="str">
        <f>IF(INPUT_sheet!A170=0,"",INPUT_sheet!A170)</f>
        <v/>
      </c>
      <c r="E170" s="19" t="str">
        <f>IF(INPUT_sheet!H170=0,"",(INPUT_sheet!H170)/1000)</f>
        <v/>
      </c>
      <c r="F170" s="19" t="str">
        <f>IF(INPUT_sheet!I170=0,"",(INPUT_sheet!I170)/1000)</f>
        <v/>
      </c>
      <c r="G170" s="19" t="str">
        <f>IF(INPUT_sheet!J170=0,"",(INPUT_sheet!J170)/1000)</f>
        <v/>
      </c>
    </row>
    <row r="171" spans="1:7">
      <c r="A171" s="17" t="str">
        <f t="shared" si="2"/>
        <v/>
      </c>
      <c r="B171" s="17" t="str">
        <f>IF(INPUT_sheet!$F171=0,"", IF(LEFT((INPUT_sheet!$F171),1)="(",RIGHT((INPUT_sheet!$F171),LEN(INPUT_sheet!$F171)-3), (INPUT_sheet!$F171)))</f>
        <v/>
      </c>
      <c r="C171" s="17" t="str">
        <f>IF(INPUT_sheet!M171=0, "", INPUT_sheet!M171)</f>
        <v/>
      </c>
      <c r="D171" s="24" t="str">
        <f>IF(INPUT_sheet!A171=0,"",INPUT_sheet!A171)</f>
        <v/>
      </c>
      <c r="E171" s="19" t="str">
        <f>IF(INPUT_sheet!H171=0,"",(INPUT_sheet!H171)/1000)</f>
        <v/>
      </c>
      <c r="F171" s="19" t="str">
        <f>IF(INPUT_sheet!I171=0,"",(INPUT_sheet!I171)/1000)</f>
        <v/>
      </c>
      <c r="G171" s="19" t="str">
        <f>IF(INPUT_sheet!J171=0,"",(INPUT_sheet!J171)/1000)</f>
        <v/>
      </c>
    </row>
    <row r="172" spans="1:7">
      <c r="A172" s="17" t="str">
        <f t="shared" si="2"/>
        <v/>
      </c>
      <c r="B172" s="17" t="str">
        <f>IF(INPUT_sheet!$F172=0,"", IF(LEFT((INPUT_sheet!$F172),1)="(",RIGHT((INPUT_sheet!$F172),LEN(INPUT_sheet!$F172)-3), (INPUT_sheet!$F172)))</f>
        <v/>
      </c>
      <c r="C172" s="17" t="str">
        <f>IF(INPUT_sheet!M172=0, "", INPUT_sheet!M172)</f>
        <v/>
      </c>
      <c r="D172" s="24" t="str">
        <f>IF(INPUT_sheet!A172=0,"",INPUT_sheet!A172)</f>
        <v/>
      </c>
      <c r="E172" s="19" t="str">
        <f>IF(INPUT_sheet!H172=0,"",(INPUT_sheet!H172)/1000)</f>
        <v/>
      </c>
      <c r="F172" s="19" t="str">
        <f>IF(INPUT_sheet!I172=0,"",(INPUT_sheet!I172)/1000)</f>
        <v/>
      </c>
      <c r="G172" s="19" t="str">
        <f>IF(INPUT_sheet!J172=0,"",(INPUT_sheet!J172)/1000)</f>
        <v/>
      </c>
    </row>
    <row r="173" spans="1:7">
      <c r="A173" s="17" t="str">
        <f t="shared" si="2"/>
        <v/>
      </c>
      <c r="B173" s="17" t="str">
        <f>IF(INPUT_sheet!$F173=0,"", IF(LEFT((INPUT_sheet!$F173),1)="(",RIGHT((INPUT_sheet!$F173),LEN(INPUT_sheet!$F173)-3), (INPUT_sheet!$F173)))</f>
        <v/>
      </c>
      <c r="C173" s="17" t="str">
        <f>IF(INPUT_sheet!M173=0, "", INPUT_sheet!M173)</f>
        <v/>
      </c>
      <c r="D173" s="24" t="str">
        <f>IF(INPUT_sheet!A173=0,"",INPUT_sheet!A173)</f>
        <v/>
      </c>
      <c r="E173" s="19" t="str">
        <f>IF(INPUT_sheet!H173=0,"",(INPUT_sheet!H173)/1000)</f>
        <v/>
      </c>
      <c r="F173" s="19" t="str">
        <f>IF(INPUT_sheet!I173=0,"",(INPUT_sheet!I173)/1000)</f>
        <v/>
      </c>
      <c r="G173" s="19" t="str">
        <f>IF(INPUT_sheet!J173=0,"",(INPUT_sheet!J173)/1000)</f>
        <v/>
      </c>
    </row>
    <row r="174" spans="1:7">
      <c r="A174" s="17" t="str">
        <f t="shared" si="2"/>
        <v/>
      </c>
      <c r="B174" s="17" t="str">
        <f>IF(INPUT_sheet!$F174=0,"", IF(LEFT((INPUT_sheet!$F174),1)="(",RIGHT((INPUT_sheet!$F174),LEN(INPUT_sheet!$F174)-3), (INPUT_sheet!$F174)))</f>
        <v/>
      </c>
      <c r="C174" s="17" t="str">
        <f>IF(INPUT_sheet!M174=0, "", INPUT_sheet!M174)</f>
        <v/>
      </c>
      <c r="D174" s="24" t="str">
        <f>IF(INPUT_sheet!A174=0,"",INPUT_sheet!A174)</f>
        <v/>
      </c>
      <c r="E174" s="19" t="str">
        <f>IF(INPUT_sheet!H174=0,"",(INPUT_sheet!H174)/1000)</f>
        <v/>
      </c>
      <c r="F174" s="19" t="str">
        <f>IF(INPUT_sheet!I174=0,"",(INPUT_sheet!I174)/1000)</f>
        <v/>
      </c>
      <c r="G174" s="19" t="str">
        <f>IF(INPUT_sheet!J174=0,"",(INPUT_sheet!J174)/1000)</f>
        <v/>
      </c>
    </row>
    <row r="175" spans="1:7">
      <c r="A175" s="17" t="str">
        <f t="shared" si="2"/>
        <v/>
      </c>
      <c r="B175" s="17" t="str">
        <f>IF(INPUT_sheet!$F175=0,"", IF(LEFT((INPUT_sheet!$F175),1)="(",RIGHT((INPUT_sheet!$F175),LEN(INPUT_sheet!$F175)-3), (INPUT_sheet!$F175)))</f>
        <v/>
      </c>
      <c r="C175" s="17" t="str">
        <f>IF(INPUT_sheet!M175=0, "", INPUT_sheet!M175)</f>
        <v/>
      </c>
      <c r="D175" s="24" t="str">
        <f>IF(INPUT_sheet!A175=0,"",INPUT_sheet!A175)</f>
        <v/>
      </c>
      <c r="E175" s="19" t="str">
        <f>IF(INPUT_sheet!H175=0,"",(INPUT_sheet!H175)/1000)</f>
        <v/>
      </c>
      <c r="F175" s="19" t="str">
        <f>IF(INPUT_sheet!I175=0,"",(INPUT_sheet!I175)/1000)</f>
        <v/>
      </c>
      <c r="G175" s="19" t="str">
        <f>IF(INPUT_sheet!J175=0,"",(INPUT_sheet!J175)/1000)</f>
        <v/>
      </c>
    </row>
    <row r="176" spans="1:7">
      <c r="A176" s="17" t="str">
        <f t="shared" si="2"/>
        <v/>
      </c>
      <c r="B176" s="17" t="str">
        <f>IF(INPUT_sheet!$F176=0,"", IF(LEFT((INPUT_sheet!$F176),1)="(",RIGHT((INPUT_sheet!$F176),LEN(INPUT_sheet!$F176)-3), (INPUT_sheet!$F176)))</f>
        <v/>
      </c>
      <c r="C176" s="17" t="str">
        <f>IF(INPUT_sheet!M176=0, "", INPUT_sheet!M176)</f>
        <v/>
      </c>
      <c r="D176" s="24" t="str">
        <f>IF(INPUT_sheet!A176=0,"",INPUT_sheet!A176)</f>
        <v/>
      </c>
      <c r="E176" s="19" t="str">
        <f>IF(INPUT_sheet!H176=0,"",(INPUT_sheet!H176)/1000)</f>
        <v/>
      </c>
      <c r="F176" s="19" t="str">
        <f>IF(INPUT_sheet!I176=0,"",(INPUT_sheet!I176)/1000)</f>
        <v/>
      </c>
      <c r="G176" s="19" t="str">
        <f>IF(INPUT_sheet!J176=0,"",(INPUT_sheet!J176)/1000)</f>
        <v/>
      </c>
    </row>
    <row r="177" spans="1:7">
      <c r="A177" s="17" t="str">
        <f t="shared" si="2"/>
        <v/>
      </c>
      <c r="B177" s="17" t="str">
        <f>IF(INPUT_sheet!$F177=0,"", IF(LEFT((INPUT_sheet!$F177),1)="(",RIGHT((INPUT_sheet!$F177),LEN(INPUT_sheet!$F177)-3), (INPUT_sheet!$F177)))</f>
        <v/>
      </c>
      <c r="C177" s="17" t="str">
        <f>IF(INPUT_sheet!M177=0, "", INPUT_sheet!M177)</f>
        <v/>
      </c>
      <c r="D177" s="24" t="str">
        <f>IF(INPUT_sheet!A177=0,"",INPUT_sheet!A177)</f>
        <v/>
      </c>
      <c r="E177" s="19" t="str">
        <f>IF(INPUT_sheet!H177=0,"",(INPUT_sheet!H177)/1000)</f>
        <v/>
      </c>
      <c r="F177" s="19" t="str">
        <f>IF(INPUT_sheet!I177=0,"",(INPUT_sheet!I177)/1000)</f>
        <v/>
      </c>
      <c r="G177" s="19" t="str">
        <f>IF(INPUT_sheet!J177=0,"",(INPUT_sheet!J177)/1000)</f>
        <v/>
      </c>
    </row>
    <row r="178" spans="1:7">
      <c r="A178" s="17" t="str">
        <f t="shared" si="2"/>
        <v/>
      </c>
      <c r="B178" s="17" t="str">
        <f>IF(INPUT_sheet!$F178=0,"", IF(LEFT((INPUT_sheet!$F178),1)="(",RIGHT((INPUT_sheet!$F178),LEN(INPUT_sheet!$F178)-3), (INPUT_sheet!$F178)))</f>
        <v/>
      </c>
      <c r="C178" s="17" t="str">
        <f>IF(INPUT_sheet!M178=0, "", INPUT_sheet!M178)</f>
        <v/>
      </c>
      <c r="D178" s="24" t="str">
        <f>IF(INPUT_sheet!A178=0,"",INPUT_sheet!A178)</f>
        <v/>
      </c>
      <c r="E178" s="19" t="str">
        <f>IF(INPUT_sheet!H178=0,"",(INPUT_sheet!H178)/1000)</f>
        <v/>
      </c>
      <c r="F178" s="19" t="str">
        <f>IF(INPUT_sheet!I178=0,"",(INPUT_sheet!I178)/1000)</f>
        <v/>
      </c>
      <c r="G178" s="19" t="str">
        <f>IF(INPUT_sheet!J178=0,"",(INPUT_sheet!J178)/1000)</f>
        <v/>
      </c>
    </row>
    <row r="179" spans="1:7">
      <c r="A179" s="17" t="str">
        <f t="shared" si="2"/>
        <v/>
      </c>
      <c r="B179" s="17" t="str">
        <f>IF(INPUT_sheet!$F179=0,"", IF(LEFT((INPUT_sheet!$F179),1)="(",RIGHT((INPUT_sheet!$F179),LEN(INPUT_sheet!$F179)-3), (INPUT_sheet!$F179)))</f>
        <v/>
      </c>
      <c r="C179" s="17" t="str">
        <f>IF(INPUT_sheet!M179=0, "", INPUT_sheet!M179)</f>
        <v/>
      </c>
      <c r="D179" s="24" t="str">
        <f>IF(INPUT_sheet!A179=0,"",INPUT_sheet!A179)</f>
        <v/>
      </c>
      <c r="E179" s="19" t="str">
        <f>IF(INPUT_sheet!H179=0,"",(INPUT_sheet!H179)/1000)</f>
        <v/>
      </c>
      <c r="F179" s="19" t="str">
        <f>IF(INPUT_sheet!I179=0,"",(INPUT_sheet!I179)/1000)</f>
        <v/>
      </c>
      <c r="G179" s="19" t="str">
        <f>IF(INPUT_sheet!J179=0,"",(INPUT_sheet!J179)/1000)</f>
        <v/>
      </c>
    </row>
    <row r="180" spans="1:7">
      <c r="A180" s="17" t="str">
        <f t="shared" si="2"/>
        <v/>
      </c>
      <c r="B180" s="17" t="str">
        <f>IF(INPUT_sheet!$F180=0,"", IF(LEFT((INPUT_sheet!$F180),1)="(",RIGHT((INPUT_sheet!$F180),LEN(INPUT_sheet!$F180)-3), (INPUT_sheet!$F180)))</f>
        <v/>
      </c>
      <c r="C180" s="17" t="str">
        <f>IF(INPUT_sheet!M180=0, "", INPUT_sheet!M180)</f>
        <v/>
      </c>
      <c r="D180" s="24" t="str">
        <f>IF(INPUT_sheet!A180=0,"",INPUT_sheet!A180)</f>
        <v/>
      </c>
      <c r="E180" s="19" t="str">
        <f>IF(INPUT_sheet!H180=0,"",(INPUT_sheet!H180)/1000)</f>
        <v/>
      </c>
      <c r="F180" s="19" t="str">
        <f>IF(INPUT_sheet!I180=0,"",(INPUT_sheet!I180)/1000)</f>
        <v/>
      </c>
      <c r="G180" s="19" t="str">
        <f>IF(INPUT_sheet!J180=0,"",(INPUT_sheet!J180)/1000)</f>
        <v/>
      </c>
    </row>
    <row r="181" spans="1:7">
      <c r="A181" s="17" t="str">
        <f t="shared" si="2"/>
        <v/>
      </c>
      <c r="B181" s="17" t="str">
        <f>IF(INPUT_sheet!$F181=0,"", IF(LEFT((INPUT_sheet!$F181),1)="(",RIGHT((INPUT_sheet!$F181),LEN(INPUT_sheet!$F181)-3), (INPUT_sheet!$F181)))</f>
        <v/>
      </c>
      <c r="C181" s="17" t="str">
        <f>IF(INPUT_sheet!M181=0, "", INPUT_sheet!M181)</f>
        <v/>
      </c>
      <c r="D181" s="24" t="str">
        <f>IF(INPUT_sheet!A181=0,"",INPUT_sheet!A181)</f>
        <v/>
      </c>
      <c r="E181" s="19" t="str">
        <f>IF(INPUT_sheet!H181=0,"",(INPUT_sheet!H181)/1000)</f>
        <v/>
      </c>
      <c r="F181" s="19" t="str">
        <f>IF(INPUT_sheet!I181=0,"",(INPUT_sheet!I181)/1000)</f>
        <v/>
      </c>
      <c r="G181" s="19" t="str">
        <f>IF(INPUT_sheet!J181=0,"",(INPUT_sheet!J181)/1000)</f>
        <v/>
      </c>
    </row>
    <row r="182" spans="1:7">
      <c r="A182" s="17" t="str">
        <f t="shared" si="2"/>
        <v/>
      </c>
      <c r="B182" s="17" t="str">
        <f>IF(INPUT_sheet!$F182=0,"", IF(LEFT((INPUT_sheet!$F182),1)="(",RIGHT((INPUT_sheet!$F182),LEN(INPUT_sheet!$F182)-3), (INPUT_sheet!$F182)))</f>
        <v/>
      </c>
      <c r="C182" s="17" t="str">
        <f>IF(INPUT_sheet!M182=0, "", INPUT_sheet!M182)</f>
        <v/>
      </c>
      <c r="D182" s="24" t="str">
        <f>IF(INPUT_sheet!A182=0,"",INPUT_sheet!A182)</f>
        <v/>
      </c>
      <c r="E182" s="19" t="str">
        <f>IF(INPUT_sheet!H182=0,"",(INPUT_sheet!H182)/1000)</f>
        <v/>
      </c>
      <c r="F182" s="19" t="str">
        <f>IF(INPUT_sheet!I182=0,"",(INPUT_sheet!I182)/1000)</f>
        <v/>
      </c>
      <c r="G182" s="19" t="str">
        <f>IF(INPUT_sheet!J182=0,"",(INPUT_sheet!J182)/1000)</f>
        <v/>
      </c>
    </row>
    <row r="183" spans="1:7">
      <c r="A183" s="17" t="str">
        <f t="shared" si="2"/>
        <v/>
      </c>
      <c r="B183" s="17" t="str">
        <f>IF(INPUT_sheet!$F183=0,"", IF(LEFT((INPUT_sheet!$F183),1)="(",RIGHT((INPUT_sheet!$F183),LEN(INPUT_sheet!$F183)-3), (INPUT_sheet!$F183)))</f>
        <v/>
      </c>
      <c r="C183" s="17" t="str">
        <f>IF(INPUT_sheet!M183=0, "", INPUT_sheet!M183)</f>
        <v/>
      </c>
      <c r="D183" s="24" t="str">
        <f>IF(INPUT_sheet!A183=0,"",INPUT_sheet!A183)</f>
        <v/>
      </c>
      <c r="E183" s="19" t="str">
        <f>IF(INPUT_sheet!H183=0,"",(INPUT_sheet!H183)/1000)</f>
        <v/>
      </c>
      <c r="F183" s="19" t="str">
        <f>IF(INPUT_sheet!I183=0,"",(INPUT_sheet!I183)/1000)</f>
        <v/>
      </c>
      <c r="G183" s="19" t="str">
        <f>IF(INPUT_sheet!J183=0,"",(INPUT_sheet!J183)/1000)</f>
        <v/>
      </c>
    </row>
    <row r="184" spans="1:7">
      <c r="A184" s="17" t="str">
        <f t="shared" si="2"/>
        <v/>
      </c>
      <c r="B184" s="17" t="str">
        <f>IF(INPUT_sheet!$F184=0,"", IF(LEFT((INPUT_sheet!$F184),1)="(",RIGHT((INPUT_sheet!$F184),LEN(INPUT_sheet!$F184)-3), (INPUT_sheet!$F184)))</f>
        <v/>
      </c>
      <c r="C184" s="17" t="str">
        <f>IF(INPUT_sheet!M184=0, "", INPUT_sheet!M184)</f>
        <v/>
      </c>
      <c r="D184" s="24" t="str">
        <f>IF(INPUT_sheet!A184=0,"",INPUT_sheet!A184)</f>
        <v/>
      </c>
      <c r="E184" s="19" t="str">
        <f>IF(INPUT_sheet!H184=0,"",(INPUT_sheet!H184)/1000)</f>
        <v/>
      </c>
      <c r="F184" s="19" t="str">
        <f>IF(INPUT_sheet!I184=0,"",(INPUT_sheet!I184)/1000)</f>
        <v/>
      </c>
      <c r="G184" s="19" t="str">
        <f>IF(INPUT_sheet!J184=0,"",(INPUT_sheet!J184)/1000)</f>
        <v/>
      </c>
    </row>
    <row r="185" spans="1:7">
      <c r="A185" s="17" t="str">
        <f t="shared" si="2"/>
        <v/>
      </c>
      <c r="B185" s="17" t="str">
        <f>IF(INPUT_sheet!$F185=0,"", IF(LEFT((INPUT_sheet!$F185),1)="(",RIGHT((INPUT_sheet!$F185),LEN(INPUT_sheet!$F185)-3), (INPUT_sheet!$F185)))</f>
        <v/>
      </c>
      <c r="C185" s="17" t="str">
        <f>IF(INPUT_sheet!M185=0, "", INPUT_sheet!M185)</f>
        <v/>
      </c>
      <c r="D185" s="24" t="str">
        <f>IF(INPUT_sheet!A185=0,"",INPUT_sheet!A185)</f>
        <v/>
      </c>
      <c r="E185" s="19" t="str">
        <f>IF(INPUT_sheet!H185=0,"",(INPUT_sheet!H185)/1000)</f>
        <v/>
      </c>
      <c r="F185" s="19" t="str">
        <f>IF(INPUT_sheet!I185=0,"",(INPUT_sheet!I185)/1000)</f>
        <v/>
      </c>
      <c r="G185" s="19" t="str">
        <f>IF(INPUT_sheet!J185=0,"",(INPUT_sheet!J185)/1000)</f>
        <v/>
      </c>
    </row>
    <row r="186" spans="1:7">
      <c r="A186" s="17" t="str">
        <f t="shared" si="2"/>
        <v/>
      </c>
      <c r="B186" s="17" t="str">
        <f>IF(INPUT_sheet!$F186=0,"", IF(LEFT((INPUT_sheet!$F186),1)="(",RIGHT((INPUT_sheet!$F186),LEN(INPUT_sheet!$F186)-3), (INPUT_sheet!$F186)))</f>
        <v/>
      </c>
      <c r="C186" s="17" t="str">
        <f>IF(INPUT_sheet!M186=0, "", INPUT_sheet!M186)</f>
        <v/>
      </c>
      <c r="D186" s="24" t="str">
        <f>IF(INPUT_sheet!A186=0,"",INPUT_sheet!A186)</f>
        <v/>
      </c>
      <c r="E186" s="19" t="str">
        <f>IF(INPUT_sheet!H186=0,"",(INPUT_sheet!H186)/1000)</f>
        <v/>
      </c>
      <c r="F186" s="19" t="str">
        <f>IF(INPUT_sheet!I186=0,"",(INPUT_sheet!I186)/1000)</f>
        <v/>
      </c>
      <c r="G186" s="19" t="str">
        <f>IF(INPUT_sheet!J186=0,"",(INPUT_sheet!J186)/1000)</f>
        <v/>
      </c>
    </row>
    <row r="187" spans="1:7">
      <c r="A187" s="17" t="str">
        <f t="shared" si="2"/>
        <v/>
      </c>
      <c r="B187" s="17" t="str">
        <f>IF(INPUT_sheet!$F187=0,"", IF(LEFT((INPUT_sheet!$F187),1)="(",RIGHT((INPUT_sheet!$F187),LEN(INPUT_sheet!$F187)-3), (INPUT_sheet!$F187)))</f>
        <v/>
      </c>
      <c r="C187" s="17" t="str">
        <f>IF(INPUT_sheet!M187=0, "", INPUT_sheet!M187)</f>
        <v/>
      </c>
      <c r="D187" s="24" t="str">
        <f>IF(INPUT_sheet!A187=0,"",INPUT_sheet!A187)</f>
        <v/>
      </c>
      <c r="E187" s="19" t="str">
        <f>IF(INPUT_sheet!H187=0,"",(INPUT_sheet!H187)/1000)</f>
        <v/>
      </c>
      <c r="F187" s="19" t="str">
        <f>IF(INPUT_sheet!I187=0,"",(INPUT_sheet!I187)/1000)</f>
        <v/>
      </c>
      <c r="G187" s="19" t="str">
        <f>IF(INPUT_sheet!J187=0,"",(INPUT_sheet!J187)/1000)</f>
        <v/>
      </c>
    </row>
    <row r="188" spans="1:7">
      <c r="A188" s="17" t="str">
        <f t="shared" si="2"/>
        <v/>
      </c>
      <c r="B188" s="17" t="str">
        <f>IF(INPUT_sheet!$F188=0,"", IF(LEFT((INPUT_sheet!$F188),1)="(",RIGHT((INPUT_sheet!$F188),LEN(INPUT_sheet!$F188)-3), (INPUT_sheet!$F188)))</f>
        <v/>
      </c>
      <c r="C188" s="17" t="str">
        <f>IF(INPUT_sheet!M188=0, "", INPUT_sheet!M188)</f>
        <v/>
      </c>
      <c r="D188" s="24" t="str">
        <f>IF(INPUT_sheet!A188=0,"",INPUT_sheet!A188)</f>
        <v/>
      </c>
      <c r="E188" s="19" t="str">
        <f>IF(INPUT_sheet!H188=0,"",(INPUT_sheet!H188)/1000)</f>
        <v/>
      </c>
      <c r="F188" s="19" t="str">
        <f>IF(INPUT_sheet!I188=0,"",(INPUT_sheet!I188)/1000)</f>
        <v/>
      </c>
      <c r="G188" s="19" t="str">
        <f>IF(INPUT_sheet!J188=0,"",(INPUT_sheet!J188)/1000)</f>
        <v/>
      </c>
    </row>
    <row r="189" spans="1:7">
      <c r="A189" s="17" t="str">
        <f t="shared" si="2"/>
        <v/>
      </c>
      <c r="B189" s="17" t="str">
        <f>IF(INPUT_sheet!$F189=0,"", IF(LEFT((INPUT_sheet!$F189),1)="(",RIGHT((INPUT_sheet!$F189),LEN(INPUT_sheet!$F189)-3), (INPUT_sheet!$F189)))</f>
        <v/>
      </c>
      <c r="C189" s="17" t="str">
        <f>IF(INPUT_sheet!M189=0, "", INPUT_sheet!M189)</f>
        <v/>
      </c>
      <c r="D189" s="24" t="str">
        <f>IF(INPUT_sheet!A189=0,"",INPUT_sheet!A189)</f>
        <v/>
      </c>
      <c r="E189" s="19" t="str">
        <f>IF(INPUT_sheet!H189=0,"",(INPUT_sheet!H189)/1000)</f>
        <v/>
      </c>
      <c r="F189" s="19" t="str">
        <f>IF(INPUT_sheet!I189=0,"",(INPUT_sheet!I189)/1000)</f>
        <v/>
      </c>
      <c r="G189" s="19" t="str">
        <f>IF(INPUT_sheet!J189=0,"",(INPUT_sheet!J189)/1000)</f>
        <v/>
      </c>
    </row>
    <row r="190" spans="1:7">
      <c r="A190" s="17" t="str">
        <f t="shared" si="2"/>
        <v/>
      </c>
      <c r="B190" s="17" t="str">
        <f>IF(INPUT_sheet!$F190=0,"", IF(LEFT((INPUT_sheet!$F190),1)="(",RIGHT((INPUT_sheet!$F190),LEN(INPUT_sheet!$F190)-3), (INPUT_sheet!$F190)))</f>
        <v/>
      </c>
      <c r="C190" s="17" t="str">
        <f>IF(INPUT_sheet!M190=0, "", INPUT_sheet!M190)</f>
        <v/>
      </c>
      <c r="D190" s="24" t="str">
        <f>IF(INPUT_sheet!A190=0,"",INPUT_sheet!A190)</f>
        <v/>
      </c>
      <c r="E190" s="19" t="str">
        <f>IF(INPUT_sheet!H190=0,"",(INPUT_sheet!H190)/1000)</f>
        <v/>
      </c>
      <c r="F190" s="19" t="str">
        <f>IF(INPUT_sheet!I190=0,"",(INPUT_sheet!I190)/1000)</f>
        <v/>
      </c>
      <c r="G190" s="19" t="str">
        <f>IF(INPUT_sheet!J190=0,"",(INPUT_sheet!J190)/1000)</f>
        <v/>
      </c>
    </row>
    <row r="191" spans="1:7">
      <c r="A191" s="17" t="str">
        <f t="shared" si="2"/>
        <v/>
      </c>
      <c r="B191" s="17" t="str">
        <f>IF(INPUT_sheet!$F191=0,"", IF(LEFT((INPUT_sheet!$F191),1)="(",RIGHT((INPUT_sheet!$F191),LEN(INPUT_sheet!$F191)-3), (INPUT_sheet!$F191)))</f>
        <v/>
      </c>
      <c r="C191" s="17" t="str">
        <f>IF(INPUT_sheet!M191=0, "", INPUT_sheet!M191)</f>
        <v/>
      </c>
      <c r="D191" s="24" t="str">
        <f>IF(INPUT_sheet!A191=0,"",INPUT_sheet!A191)</f>
        <v/>
      </c>
      <c r="E191" s="19" t="str">
        <f>IF(INPUT_sheet!H191=0,"",(INPUT_sheet!H191)/1000)</f>
        <v/>
      </c>
      <c r="F191" s="19" t="str">
        <f>IF(INPUT_sheet!I191=0,"",(INPUT_sheet!I191)/1000)</f>
        <v/>
      </c>
      <c r="G191" s="19" t="str">
        <f>IF(INPUT_sheet!J191=0,"",(INPUT_sheet!J191)/1000)</f>
        <v/>
      </c>
    </row>
    <row r="192" spans="1:7">
      <c r="A192" s="17" t="str">
        <f t="shared" si="2"/>
        <v/>
      </c>
      <c r="B192" s="17" t="str">
        <f>IF(INPUT_sheet!$F192=0,"", IF(LEFT((INPUT_sheet!$F192),1)="(",RIGHT((INPUT_sheet!$F192),LEN(INPUT_sheet!$F192)-3), (INPUT_sheet!$F192)))</f>
        <v/>
      </c>
      <c r="C192" s="17" t="str">
        <f>IF(INPUT_sheet!M192=0, "", INPUT_sheet!M192)</f>
        <v/>
      </c>
      <c r="D192" s="24" t="str">
        <f>IF(INPUT_sheet!A192=0,"",INPUT_sheet!A192)</f>
        <v/>
      </c>
      <c r="E192" s="19" t="str">
        <f>IF(INPUT_sheet!H192=0,"",(INPUT_sheet!H192)/1000)</f>
        <v/>
      </c>
      <c r="F192" s="19" t="str">
        <f>IF(INPUT_sheet!I192=0,"",(INPUT_sheet!I192)/1000)</f>
        <v/>
      </c>
      <c r="G192" s="19" t="str">
        <f>IF(INPUT_sheet!J192=0,"",(INPUT_sheet!J192)/1000)</f>
        <v/>
      </c>
    </row>
    <row r="193" spans="1:7">
      <c r="A193" s="17" t="str">
        <f t="shared" si="2"/>
        <v/>
      </c>
      <c r="B193" s="17" t="str">
        <f>IF(INPUT_sheet!$F193=0,"", IF(LEFT((INPUT_sheet!$F193),1)="(",RIGHT((INPUT_sheet!$F193),LEN(INPUT_sheet!$F193)-3), (INPUT_sheet!$F193)))</f>
        <v/>
      </c>
      <c r="C193" s="17" t="str">
        <f>IF(INPUT_sheet!M193=0, "", INPUT_sheet!M193)</f>
        <v/>
      </c>
      <c r="D193" s="24" t="str">
        <f>IF(INPUT_sheet!A193=0,"",INPUT_sheet!A193)</f>
        <v/>
      </c>
      <c r="E193" s="19" t="str">
        <f>IF(INPUT_sheet!H193=0,"",(INPUT_sheet!H193)/1000)</f>
        <v/>
      </c>
      <c r="F193" s="19" t="str">
        <f>IF(INPUT_sheet!I193=0,"",(INPUT_sheet!I193)/1000)</f>
        <v/>
      </c>
      <c r="G193" s="19" t="str">
        <f>IF(INPUT_sheet!J193=0,"",(INPUT_sheet!J193)/1000)</f>
        <v/>
      </c>
    </row>
    <row r="194" spans="1:7">
      <c r="A194" s="17" t="str">
        <f t="shared" si="2"/>
        <v/>
      </c>
      <c r="B194" s="17" t="str">
        <f>IF(INPUT_sheet!$F194=0,"", IF(LEFT((INPUT_sheet!$F194),1)="(",RIGHT((INPUT_sheet!$F194),LEN(INPUT_sheet!$F194)-3), (INPUT_sheet!$F194)))</f>
        <v/>
      </c>
      <c r="C194" s="17" t="str">
        <f>IF(INPUT_sheet!M194=0, "", INPUT_sheet!M194)</f>
        <v/>
      </c>
      <c r="D194" s="24" t="str">
        <f>IF(INPUT_sheet!A194=0,"",INPUT_sheet!A194)</f>
        <v/>
      </c>
      <c r="E194" s="19" t="str">
        <f>IF(INPUT_sheet!H194=0,"",(INPUT_sheet!H194)/1000)</f>
        <v/>
      </c>
      <c r="F194" s="19" t="str">
        <f>IF(INPUT_sheet!I194=0,"",(INPUT_sheet!I194)/1000)</f>
        <v/>
      </c>
      <c r="G194" s="19" t="str">
        <f>IF(INPUT_sheet!J194=0,"",(INPUT_sheet!J194)/1000)</f>
        <v/>
      </c>
    </row>
    <row r="195" spans="1:7">
      <c r="A195" s="17" t="str">
        <f t="shared" ref="A195:A200" si="3">IF($B195="", "", ROW()-1)</f>
        <v/>
      </c>
      <c r="B195" s="17" t="str">
        <f>IF(INPUT_sheet!$F195=0,"", IF(LEFT((INPUT_sheet!$F195),1)="(",RIGHT((INPUT_sheet!$F195),LEN(INPUT_sheet!$F195)-3), (INPUT_sheet!$F195)))</f>
        <v/>
      </c>
      <c r="C195" s="17" t="str">
        <f>IF(INPUT_sheet!M195=0, "", INPUT_sheet!M195)</f>
        <v/>
      </c>
      <c r="D195" s="24" t="str">
        <f>IF(INPUT_sheet!A195=0,"",INPUT_sheet!A195)</f>
        <v/>
      </c>
      <c r="E195" s="19" t="str">
        <f>IF(INPUT_sheet!H195=0,"",(INPUT_sheet!H195)/1000)</f>
        <v/>
      </c>
      <c r="F195" s="19" t="str">
        <f>IF(INPUT_sheet!I195=0,"",(INPUT_sheet!I195)/1000)</f>
        <v/>
      </c>
      <c r="G195" s="19" t="str">
        <f>IF(INPUT_sheet!J195=0,"",(INPUT_sheet!J195)/1000)</f>
        <v/>
      </c>
    </row>
    <row r="196" spans="1:7">
      <c r="A196" s="17" t="str">
        <f t="shared" si="3"/>
        <v/>
      </c>
      <c r="B196" s="17" t="str">
        <f>IF(INPUT_sheet!$F196=0,"", IF(LEFT((INPUT_sheet!$F196),1)="(",RIGHT((INPUT_sheet!$F196),LEN(INPUT_sheet!$F196)-3), (INPUT_sheet!$F196)))</f>
        <v/>
      </c>
      <c r="C196" s="17" t="str">
        <f>IF(INPUT_sheet!M196=0, "", INPUT_sheet!M196)</f>
        <v/>
      </c>
      <c r="D196" s="24" t="str">
        <f>IF(INPUT_sheet!A196=0,"",INPUT_sheet!A196)</f>
        <v/>
      </c>
      <c r="E196" s="19" t="str">
        <f>IF(INPUT_sheet!H196=0,"",(INPUT_sheet!H196)/1000)</f>
        <v/>
      </c>
      <c r="F196" s="19" t="str">
        <f>IF(INPUT_sheet!I196=0,"",(INPUT_sheet!I196)/1000)</f>
        <v/>
      </c>
      <c r="G196" s="19" t="str">
        <f>IF(INPUT_sheet!J196=0,"",(INPUT_sheet!J196)/1000)</f>
        <v/>
      </c>
    </row>
    <row r="197" spans="1:7">
      <c r="A197" s="17" t="str">
        <f t="shared" si="3"/>
        <v/>
      </c>
      <c r="B197" s="17" t="str">
        <f>IF(INPUT_sheet!$F197=0,"", IF(LEFT((INPUT_sheet!$F197),1)="(",RIGHT((INPUT_sheet!$F197),LEN(INPUT_sheet!$F197)-3), (INPUT_sheet!$F197)))</f>
        <v/>
      </c>
      <c r="C197" s="17" t="str">
        <f>IF(INPUT_sheet!M197=0, "", INPUT_sheet!M197)</f>
        <v/>
      </c>
      <c r="D197" s="24" t="str">
        <f>IF(INPUT_sheet!A197=0,"",INPUT_sheet!A197)</f>
        <v/>
      </c>
      <c r="E197" s="19" t="str">
        <f>IF(INPUT_sheet!H197=0,"",(INPUT_sheet!H197)/1000)</f>
        <v/>
      </c>
      <c r="F197" s="19" t="str">
        <f>IF(INPUT_sheet!I197=0,"",(INPUT_sheet!I197)/1000)</f>
        <v/>
      </c>
      <c r="G197" s="19" t="str">
        <f>IF(INPUT_sheet!J197=0,"",(INPUT_sheet!J197)/1000)</f>
        <v/>
      </c>
    </row>
    <row r="198" spans="1:7">
      <c r="A198" s="17" t="str">
        <f t="shared" si="3"/>
        <v/>
      </c>
      <c r="B198" s="17" t="str">
        <f>IF(INPUT_sheet!$F198=0,"", IF(LEFT((INPUT_sheet!$F198),1)="(",RIGHT((INPUT_sheet!$F198),LEN(INPUT_sheet!$F198)-3), (INPUT_sheet!$F198)))</f>
        <v/>
      </c>
      <c r="C198" s="17" t="str">
        <f>IF(INPUT_sheet!M198=0, "", INPUT_sheet!M198)</f>
        <v/>
      </c>
      <c r="D198" s="24" t="str">
        <f>IF(INPUT_sheet!A198=0,"",INPUT_sheet!A198)</f>
        <v/>
      </c>
      <c r="E198" s="19" t="str">
        <f>IF(INPUT_sheet!H198=0,"",(INPUT_sheet!H198)/1000)</f>
        <v/>
      </c>
      <c r="F198" s="19" t="str">
        <f>IF(INPUT_sheet!I198=0,"",(INPUT_sheet!I198)/1000)</f>
        <v/>
      </c>
      <c r="G198" s="19" t="str">
        <f>IF(INPUT_sheet!J198=0,"",(INPUT_sheet!J198)/1000)</f>
        <v/>
      </c>
    </row>
    <row r="199" spans="1:7">
      <c r="A199" s="17" t="str">
        <f t="shared" si="3"/>
        <v/>
      </c>
      <c r="B199" s="17" t="str">
        <f>IF(INPUT_sheet!$F199=0,"", IF(LEFT((INPUT_sheet!$F199),1)="(",RIGHT((INPUT_sheet!$F199),LEN(INPUT_sheet!$F199)-3), (INPUT_sheet!$F199)))</f>
        <v/>
      </c>
      <c r="C199" s="17" t="str">
        <f>IF(INPUT_sheet!M199=0, "", INPUT_sheet!M199)</f>
        <v/>
      </c>
      <c r="D199" s="24" t="str">
        <f>IF(INPUT_sheet!A199=0,"",INPUT_sheet!A199)</f>
        <v/>
      </c>
      <c r="E199" s="19" t="str">
        <f>IF(INPUT_sheet!H199=0,"",(INPUT_sheet!H199)/1000)</f>
        <v/>
      </c>
      <c r="F199" s="19" t="str">
        <f>IF(INPUT_sheet!I199=0,"",(INPUT_sheet!I199)/1000)</f>
        <v/>
      </c>
      <c r="G199" s="19" t="str">
        <f>IF(INPUT_sheet!J199=0,"",(INPUT_sheet!J199)/1000)</f>
        <v/>
      </c>
    </row>
    <row r="200" spans="1:7">
      <c r="A200" s="17" t="str">
        <f t="shared" si="3"/>
        <v/>
      </c>
      <c r="B200" s="17" t="str">
        <f>IF(INPUT_sheet!$F200=0,"", IF(LEFT((INPUT_sheet!$F200),1)="(",RIGHT((INPUT_sheet!$F200),LEN(INPUT_sheet!$F200)-3), (INPUT_sheet!$F200)))</f>
        <v/>
      </c>
      <c r="C200" s="17" t="str">
        <f>IF(INPUT_sheet!M200=0, "", INPUT_sheet!M200)</f>
        <v/>
      </c>
      <c r="D200" s="24" t="str">
        <f>IF(INPUT_sheet!A200=0,"",INPUT_sheet!A200)</f>
        <v/>
      </c>
      <c r="E200" s="19" t="str">
        <f>IF(INPUT_sheet!H200=0,"",(INPUT_sheet!H200)/1000)</f>
        <v/>
      </c>
      <c r="F200" s="19" t="str">
        <f>IF(INPUT_sheet!I200=0,"",(INPUT_sheet!I200)/1000)</f>
        <v/>
      </c>
      <c r="G200" s="19" t="str">
        <f>IF(INPUT_sheet!J200=0,"",(INPUT_sheet!J200)/1000)</f>
        <v/>
      </c>
    </row>
  </sheetData>
  <sheetProtection algorithmName="SHA-512" hashValue="fuUngP25pnjZDHuAlPnziCCeEiZCU38+43ZjqDadTtzx9I7QZL+jlzIpWdqEZx0UB1rFcEV2ptsCS1fgTX/hJA==" saltValue="eSUTAoM8CeXjyXGvqu4geA==" spinCount="100000" sheet="1" objects="1" scenarios="1" selectLockedCells="1"/>
  <phoneticPr fontId="1" type="noConversion"/>
  <conditionalFormatting sqref="A1:G1048576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시스템초화면돌아가기2">
              <controlPr defaultSize="0" print="0" autoFill="0" autoPict="0" macro="[0]!시스템초화면돌아가기2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"/>
  <sheetViews>
    <sheetView zoomScale="130" zoomScaleNormal="130" workbookViewId="0">
      <selection activeCell="F8" sqref="F8"/>
    </sheetView>
  </sheetViews>
  <sheetFormatPr defaultRowHeight="12"/>
  <cols>
    <col min="1" max="25" width="17.28515625" style="21" customWidth="1"/>
    <col min="26" max="16384" width="9.140625" style="14"/>
  </cols>
  <sheetData>
    <row r="1" spans="1:5">
      <c r="A1" s="20" t="s">
        <v>14</v>
      </c>
      <c r="B1" s="20" t="s">
        <v>11</v>
      </c>
      <c r="C1" s="20" t="s">
        <v>12</v>
      </c>
      <c r="D1" s="20" t="s">
        <v>13</v>
      </c>
      <c r="E1" s="20" t="s">
        <v>15</v>
      </c>
    </row>
    <row r="2" spans="1:5">
      <c r="A2" s="22" t="s">
        <v>2</v>
      </c>
      <c r="B2" s="22">
        <v>1.6</v>
      </c>
      <c r="C2" s="22">
        <v>2.8</v>
      </c>
      <c r="D2" s="22">
        <v>1.6</v>
      </c>
      <c r="E2" s="22">
        <v>7.17</v>
      </c>
    </row>
    <row r="3" spans="1:5">
      <c r="A3" s="22" t="s">
        <v>3</v>
      </c>
      <c r="B3" s="22">
        <v>1.6</v>
      </c>
      <c r="C3" s="22">
        <v>3</v>
      </c>
      <c r="D3" s="22">
        <v>1.6</v>
      </c>
      <c r="E3" s="22">
        <v>7.68</v>
      </c>
    </row>
    <row r="4" spans="1:5">
      <c r="A4" s="22" t="s">
        <v>4</v>
      </c>
      <c r="B4" s="22">
        <v>1.8</v>
      </c>
      <c r="C4" s="22">
        <v>4.3</v>
      </c>
      <c r="D4" s="22">
        <v>1.8</v>
      </c>
      <c r="E4" s="22">
        <v>13.93</v>
      </c>
    </row>
    <row r="5" spans="1:5">
      <c r="A5" s="22" t="s">
        <v>5</v>
      </c>
      <c r="B5" s="22">
        <v>2.0499999999999998</v>
      </c>
      <c r="C5" s="22">
        <v>4.5999999999999996</v>
      </c>
      <c r="D5" s="22">
        <v>2</v>
      </c>
      <c r="E5" s="22">
        <v>18.86</v>
      </c>
    </row>
    <row r="6" spans="1:5">
      <c r="A6" s="22" t="s">
        <v>6</v>
      </c>
      <c r="B6" s="22">
        <v>2.2000000000000002</v>
      </c>
      <c r="C6" s="22">
        <v>6.2</v>
      </c>
      <c r="D6" s="22">
        <v>2</v>
      </c>
      <c r="E6" s="22">
        <v>27.28</v>
      </c>
    </row>
    <row r="7" spans="1:5">
      <c r="A7" s="22" t="s">
        <v>7</v>
      </c>
      <c r="B7" s="22">
        <v>2.2999999999999998</v>
      </c>
      <c r="C7" s="22">
        <v>7.3</v>
      </c>
      <c r="D7" s="22">
        <v>2</v>
      </c>
      <c r="E7" s="22">
        <v>33.58</v>
      </c>
    </row>
    <row r="8" spans="1:5">
      <c r="A8" s="22" t="s">
        <v>8</v>
      </c>
      <c r="B8" s="22">
        <v>2.35</v>
      </c>
      <c r="C8" s="22">
        <v>8.5</v>
      </c>
      <c r="D8" s="22">
        <v>2.2000000000000002</v>
      </c>
      <c r="E8" s="22">
        <v>43.95</v>
      </c>
    </row>
  </sheetData>
  <sheetProtection algorithmName="SHA-512" hashValue="Anluu0/uHTWAm50ALyE4zBn0o9XzOStRVsaR+v9urIZXXmpivUGtHIYv85KlPb7EgvIwZamrasd5IcNZ2rc1zQ==" saltValue="8VM3KyjDQkK1ycdxh7e4YQ==" spinCount="100000" sheet="1" objects="1" scenarios="1" selectLockedCell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시스템초화면돌아가기4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시스템초화면</vt:lpstr>
      <vt:lpstr>INPUT_sheet</vt:lpstr>
      <vt:lpstr>INPUT_Truck_Ton</vt:lpstr>
      <vt:lpstr>Goods_size</vt:lpstr>
      <vt:lpstr>Truck_spec.</vt:lpstr>
      <vt:lpstr>TonRange</vt:lpstr>
    </vt:vector>
  </TitlesOfParts>
  <Company>posco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poscouser</dc:creator>
  <cp:lastModifiedBy>poscouser</cp:lastModifiedBy>
  <dcterms:created xsi:type="dcterms:W3CDTF">2018-08-02T04:12:34Z</dcterms:created>
  <dcterms:modified xsi:type="dcterms:W3CDTF">2018-11-19T08:05:13Z</dcterms:modified>
</cp:coreProperties>
</file>